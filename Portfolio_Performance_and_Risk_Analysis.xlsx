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d59b55387490cd/Desktop/"/>
    </mc:Choice>
  </mc:AlternateContent>
  <xr:revisionPtr revIDLastSave="460" documentId="8_{3E0BA49D-4133-43DE-AF5D-A3AB16C786A8}" xr6:coauthVersionLast="47" xr6:coauthVersionMax="47" xr10:uidLastSave="{E3B54B9E-9AD9-45D2-9090-F53DDAF8AAEC}"/>
  <bookViews>
    <workbookView xWindow="-98" yWindow="-98" windowWidth="19396" windowHeight="11475" activeTab="2" xr2:uid="{6AD85498-5BB3-49E1-8BA4-2AC14D736C2E}"/>
  </bookViews>
  <sheets>
    <sheet name="Raw_data" sheetId="1" r:id="rId1"/>
    <sheet name="Metrics" sheetId="2" r:id="rId2"/>
    <sheet name="Dashboard" sheetId="3" r:id="rId3"/>
  </sheets>
  <definedNames>
    <definedName name="_xlchart.v1.0" hidden="1">Metrics!$C$7</definedName>
    <definedName name="_xlchart.v1.1" hidden="1">Metrics!$C$8:$C$284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3" l="1"/>
  <c r="B6" i="3"/>
  <c r="B5" i="3"/>
  <c r="B3" i="3"/>
  <c r="B4" i="2"/>
  <c r="B3" i="2"/>
  <c r="D144" i="2"/>
  <c r="A9" i="2"/>
  <c r="B9" i="2"/>
  <c r="A10" i="2"/>
  <c r="B10" i="2"/>
  <c r="A11" i="2"/>
  <c r="B11" i="2"/>
  <c r="C11" i="2" s="1"/>
  <c r="A12" i="2"/>
  <c r="B12" i="2"/>
  <c r="C12" i="2" s="1"/>
  <c r="A13" i="2"/>
  <c r="B13" i="2"/>
  <c r="A14" i="2"/>
  <c r="B14" i="2"/>
  <c r="A15" i="2"/>
  <c r="B15" i="2"/>
  <c r="A16" i="2"/>
  <c r="B16" i="2"/>
  <c r="A17" i="2"/>
  <c r="B17" i="2"/>
  <c r="A18" i="2"/>
  <c r="B18" i="2"/>
  <c r="A19" i="2"/>
  <c r="B19" i="2"/>
  <c r="C19" i="2" s="1"/>
  <c r="A20" i="2"/>
  <c r="B20" i="2"/>
  <c r="C20" i="2" s="1"/>
  <c r="A21" i="2"/>
  <c r="B21" i="2"/>
  <c r="C21" i="2" s="1"/>
  <c r="A22" i="2"/>
  <c r="B22" i="2"/>
  <c r="A23" i="2"/>
  <c r="B23" i="2"/>
  <c r="A24" i="2"/>
  <c r="B24" i="2"/>
  <c r="A25" i="2"/>
  <c r="B25" i="2"/>
  <c r="C25" i="2" s="1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C34" i="2" s="1"/>
  <c r="A35" i="2"/>
  <c r="B35" i="2"/>
  <c r="A36" i="2"/>
  <c r="B36" i="2"/>
  <c r="A37" i="2"/>
  <c r="B37" i="2"/>
  <c r="C37" i="2" s="1"/>
  <c r="A38" i="2"/>
  <c r="B38" i="2"/>
  <c r="C38" i="2" s="1"/>
  <c r="A39" i="2"/>
  <c r="B39" i="2"/>
  <c r="A40" i="2"/>
  <c r="B40" i="2"/>
  <c r="A41" i="2"/>
  <c r="B41" i="2"/>
  <c r="A42" i="2"/>
  <c r="B42" i="2"/>
  <c r="A43" i="2"/>
  <c r="B43" i="2"/>
  <c r="C43" i="2" s="1"/>
  <c r="A44" i="2"/>
  <c r="B44" i="2"/>
  <c r="D44" i="2" s="1"/>
  <c r="A45" i="2"/>
  <c r="B45" i="2"/>
  <c r="A46" i="2"/>
  <c r="B46" i="2"/>
  <c r="A47" i="2"/>
  <c r="B47" i="2"/>
  <c r="A48" i="2"/>
  <c r="B48" i="2"/>
  <c r="C48" i="2" s="1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C55" i="2" s="1"/>
  <c r="A56" i="2"/>
  <c r="B56" i="2"/>
  <c r="C56" i="2" s="1"/>
  <c r="A57" i="2"/>
  <c r="B57" i="2"/>
  <c r="C57" i="2" s="1"/>
  <c r="A58" i="2"/>
  <c r="B58" i="2"/>
  <c r="A59" i="2"/>
  <c r="B59" i="2"/>
  <c r="A60" i="2"/>
  <c r="B60" i="2"/>
  <c r="A61" i="2"/>
  <c r="B61" i="2"/>
  <c r="C61" i="2" s="1"/>
  <c r="A62" i="2"/>
  <c r="B62" i="2"/>
  <c r="A63" i="2"/>
  <c r="B63" i="2"/>
  <c r="A64" i="2"/>
  <c r="B64" i="2"/>
  <c r="A65" i="2"/>
  <c r="B65" i="2"/>
  <c r="A66" i="2"/>
  <c r="B66" i="2"/>
  <c r="A67" i="2"/>
  <c r="B67" i="2"/>
  <c r="A68" i="2"/>
  <c r="B68" i="2"/>
  <c r="A69" i="2"/>
  <c r="B69" i="2"/>
  <c r="A70" i="2"/>
  <c r="B70" i="2"/>
  <c r="C70" i="2" s="1"/>
  <c r="A71" i="2"/>
  <c r="B71" i="2"/>
  <c r="A72" i="2"/>
  <c r="B72" i="2"/>
  <c r="A73" i="2"/>
  <c r="B73" i="2"/>
  <c r="D73" i="2" s="1"/>
  <c r="A74" i="2"/>
  <c r="B74" i="2"/>
  <c r="A75" i="2"/>
  <c r="B75" i="2"/>
  <c r="C75" i="2" s="1"/>
  <c r="A76" i="2"/>
  <c r="B76" i="2"/>
  <c r="A77" i="2"/>
  <c r="B77" i="2"/>
  <c r="A78" i="2"/>
  <c r="B78" i="2"/>
  <c r="A79" i="2"/>
  <c r="B79" i="2"/>
  <c r="C79" i="2" s="1"/>
  <c r="A80" i="2"/>
  <c r="B80" i="2"/>
  <c r="A81" i="2"/>
  <c r="B81" i="2"/>
  <c r="A82" i="2"/>
  <c r="B82" i="2"/>
  <c r="C82" i="2" s="1"/>
  <c r="A83" i="2"/>
  <c r="B83" i="2"/>
  <c r="A84" i="2"/>
  <c r="B84" i="2"/>
  <c r="C84" i="2" s="1"/>
  <c r="A85" i="2"/>
  <c r="B85" i="2"/>
  <c r="A86" i="2"/>
  <c r="B86" i="2"/>
  <c r="A87" i="2"/>
  <c r="B87" i="2"/>
  <c r="A88" i="2"/>
  <c r="B88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B96" i="2"/>
  <c r="A97" i="2"/>
  <c r="B97" i="2"/>
  <c r="C97" i="2" s="1"/>
  <c r="A98" i="2"/>
  <c r="B98" i="2"/>
  <c r="D98" i="2" s="1"/>
  <c r="A99" i="2"/>
  <c r="B99" i="2"/>
  <c r="D99" i="2" s="1"/>
  <c r="A100" i="2"/>
  <c r="B100" i="2"/>
  <c r="A101" i="2"/>
  <c r="B101" i="2"/>
  <c r="A102" i="2"/>
  <c r="B102" i="2"/>
  <c r="A103" i="2"/>
  <c r="B103" i="2"/>
  <c r="A104" i="2"/>
  <c r="B104" i="2"/>
  <c r="A105" i="2"/>
  <c r="B105" i="2"/>
  <c r="A106" i="2"/>
  <c r="B106" i="2"/>
  <c r="C106" i="2" s="1"/>
  <c r="A107" i="2"/>
  <c r="B107" i="2"/>
  <c r="A108" i="2"/>
  <c r="B108" i="2"/>
  <c r="A109" i="2"/>
  <c r="B109" i="2"/>
  <c r="D109" i="2" s="1"/>
  <c r="A110" i="2"/>
  <c r="B110" i="2"/>
  <c r="C110" i="2" s="1"/>
  <c r="A111" i="2"/>
  <c r="B111" i="2"/>
  <c r="C111" i="2" s="1"/>
  <c r="A112" i="2"/>
  <c r="B112" i="2"/>
  <c r="A113" i="2"/>
  <c r="B113" i="2"/>
  <c r="A114" i="2"/>
  <c r="B114" i="2"/>
  <c r="A115" i="2"/>
  <c r="B115" i="2"/>
  <c r="C115" i="2" s="1"/>
  <c r="A116" i="2"/>
  <c r="B116" i="2"/>
  <c r="A117" i="2"/>
  <c r="B117" i="2"/>
  <c r="A118" i="2"/>
  <c r="B118" i="2"/>
  <c r="A119" i="2"/>
  <c r="B119" i="2"/>
  <c r="A120" i="2"/>
  <c r="B120" i="2"/>
  <c r="C120" i="2" s="1"/>
  <c r="A121" i="2"/>
  <c r="B121" i="2"/>
  <c r="A122" i="2"/>
  <c r="B122" i="2"/>
  <c r="A123" i="2"/>
  <c r="B123" i="2"/>
  <c r="A124" i="2"/>
  <c r="B124" i="2"/>
  <c r="A125" i="2"/>
  <c r="B125" i="2"/>
  <c r="A126" i="2"/>
  <c r="B126" i="2"/>
  <c r="A127" i="2"/>
  <c r="B127" i="2"/>
  <c r="A128" i="2"/>
  <c r="B128" i="2"/>
  <c r="A129" i="2"/>
  <c r="B129" i="2"/>
  <c r="C129" i="2" s="1"/>
  <c r="A130" i="2"/>
  <c r="B130" i="2"/>
  <c r="A131" i="2"/>
  <c r="B131" i="2"/>
  <c r="A132" i="2"/>
  <c r="B132" i="2"/>
  <c r="A133" i="2"/>
  <c r="B133" i="2"/>
  <c r="C133" i="2" s="1"/>
  <c r="A134" i="2"/>
  <c r="B134" i="2"/>
  <c r="A135" i="2"/>
  <c r="B135" i="2"/>
  <c r="A136" i="2"/>
  <c r="B136" i="2"/>
  <c r="A137" i="2"/>
  <c r="B137" i="2"/>
  <c r="A138" i="2"/>
  <c r="B138" i="2"/>
  <c r="A139" i="2"/>
  <c r="B139" i="2"/>
  <c r="A140" i="2"/>
  <c r="B140" i="2"/>
  <c r="A141" i="2"/>
  <c r="B141" i="2"/>
  <c r="A142" i="2"/>
  <c r="B142" i="2"/>
  <c r="C142" i="2" s="1"/>
  <c r="A143" i="2"/>
  <c r="B143" i="2"/>
  <c r="D143" i="2" s="1"/>
  <c r="A144" i="2"/>
  <c r="B144" i="2"/>
  <c r="A145" i="2"/>
  <c r="B145" i="2"/>
  <c r="D145" i="2" s="1"/>
  <c r="A146" i="2"/>
  <c r="B146" i="2"/>
  <c r="D146" i="2" s="1"/>
  <c r="A147" i="2"/>
  <c r="B147" i="2"/>
  <c r="C147" i="2" s="1"/>
  <c r="A148" i="2"/>
  <c r="B148" i="2"/>
  <c r="A149" i="2"/>
  <c r="B149" i="2"/>
  <c r="A150" i="2"/>
  <c r="B150" i="2"/>
  <c r="A151" i="2"/>
  <c r="B151" i="2"/>
  <c r="C151" i="2" s="1"/>
  <c r="A152" i="2"/>
  <c r="B152" i="2"/>
  <c r="A153" i="2"/>
  <c r="B153" i="2"/>
  <c r="A154" i="2"/>
  <c r="B154" i="2"/>
  <c r="C154" i="2" s="1"/>
  <c r="A155" i="2"/>
  <c r="B155" i="2"/>
  <c r="A156" i="2"/>
  <c r="B156" i="2"/>
  <c r="A157" i="2"/>
  <c r="B157" i="2"/>
  <c r="A158" i="2"/>
  <c r="B158" i="2"/>
  <c r="A159" i="2"/>
  <c r="B159" i="2"/>
  <c r="A160" i="2"/>
  <c r="B160" i="2"/>
  <c r="A161" i="2"/>
  <c r="B161" i="2"/>
  <c r="A162" i="2"/>
  <c r="B162" i="2"/>
  <c r="A163" i="2"/>
  <c r="B163" i="2"/>
  <c r="A164" i="2"/>
  <c r="B164" i="2"/>
  <c r="C164" i="2" s="1"/>
  <c r="A165" i="2"/>
  <c r="B165" i="2"/>
  <c r="A166" i="2"/>
  <c r="B166" i="2"/>
  <c r="A167" i="2"/>
  <c r="B167" i="2"/>
  <c r="A168" i="2"/>
  <c r="B168" i="2"/>
  <c r="A169" i="2"/>
  <c r="B169" i="2"/>
  <c r="C169" i="2" s="1"/>
  <c r="A170" i="2"/>
  <c r="B170" i="2"/>
  <c r="A171" i="2"/>
  <c r="B171" i="2"/>
  <c r="A172" i="2"/>
  <c r="B172" i="2"/>
  <c r="A173" i="2"/>
  <c r="B173" i="2"/>
  <c r="A174" i="2"/>
  <c r="B174" i="2"/>
  <c r="A175" i="2"/>
  <c r="B175" i="2"/>
  <c r="A176" i="2"/>
  <c r="B176" i="2"/>
  <c r="A177" i="2"/>
  <c r="B177" i="2"/>
  <c r="A178" i="2"/>
  <c r="B178" i="2"/>
  <c r="C178" i="2" s="1"/>
  <c r="A179" i="2"/>
  <c r="B179" i="2"/>
  <c r="A180" i="2"/>
  <c r="B180" i="2"/>
  <c r="A181" i="2"/>
  <c r="B181" i="2"/>
  <c r="C181" i="2" s="1"/>
  <c r="A182" i="2"/>
  <c r="B182" i="2"/>
  <c r="A183" i="2"/>
  <c r="B183" i="2"/>
  <c r="C183" i="2" s="1"/>
  <c r="A184" i="2"/>
  <c r="B184" i="2"/>
  <c r="A185" i="2"/>
  <c r="B185" i="2"/>
  <c r="A186" i="2"/>
  <c r="B186" i="2"/>
  <c r="A187" i="2"/>
  <c r="B187" i="2"/>
  <c r="C187" i="2" s="1"/>
  <c r="A188" i="2"/>
  <c r="B188" i="2"/>
  <c r="D188" i="2" s="1"/>
  <c r="A189" i="2"/>
  <c r="B189" i="2"/>
  <c r="D189" i="2" s="1"/>
  <c r="A190" i="2"/>
  <c r="B190" i="2"/>
  <c r="C190" i="2" s="1"/>
  <c r="A191" i="2"/>
  <c r="B191" i="2"/>
  <c r="C191" i="2" s="1"/>
  <c r="A192" i="2"/>
  <c r="B192" i="2"/>
  <c r="C192" i="2" s="1"/>
  <c r="A193" i="2"/>
  <c r="B193" i="2"/>
  <c r="A194" i="2"/>
  <c r="B194" i="2"/>
  <c r="A195" i="2"/>
  <c r="B195" i="2"/>
  <c r="D195" i="2" s="1"/>
  <c r="A196" i="2"/>
  <c r="B196" i="2"/>
  <c r="A197" i="2"/>
  <c r="B197" i="2"/>
  <c r="A198" i="2"/>
  <c r="B198" i="2"/>
  <c r="A199" i="2"/>
  <c r="B199" i="2"/>
  <c r="A200" i="2"/>
  <c r="B200" i="2"/>
  <c r="A201" i="2"/>
  <c r="B201" i="2"/>
  <c r="D201" i="2" s="1"/>
  <c r="A202" i="2"/>
  <c r="B202" i="2"/>
  <c r="A203" i="2"/>
  <c r="B203" i="2"/>
  <c r="A204" i="2"/>
  <c r="B204" i="2"/>
  <c r="A205" i="2"/>
  <c r="B205" i="2"/>
  <c r="C205" i="2" s="1"/>
  <c r="A206" i="2"/>
  <c r="B206" i="2"/>
  <c r="A207" i="2"/>
  <c r="B207" i="2"/>
  <c r="A208" i="2"/>
  <c r="B208" i="2"/>
  <c r="A209" i="2"/>
  <c r="B209" i="2"/>
  <c r="A210" i="2"/>
  <c r="B210" i="2"/>
  <c r="A211" i="2"/>
  <c r="B211" i="2"/>
  <c r="A212" i="2"/>
  <c r="B212" i="2"/>
  <c r="A213" i="2"/>
  <c r="B213" i="2"/>
  <c r="D213" i="2" s="1"/>
  <c r="A214" i="2"/>
  <c r="B214" i="2"/>
  <c r="C214" i="2" s="1"/>
  <c r="A215" i="2"/>
  <c r="B215" i="2"/>
  <c r="A216" i="2"/>
  <c r="B216" i="2"/>
  <c r="C216" i="2" s="1"/>
  <c r="A217" i="2"/>
  <c r="B217" i="2"/>
  <c r="D217" i="2" s="1"/>
  <c r="A218" i="2"/>
  <c r="B218" i="2"/>
  <c r="D218" i="2" s="1"/>
  <c r="A219" i="2"/>
  <c r="B219" i="2"/>
  <c r="C219" i="2" s="1"/>
  <c r="A220" i="2"/>
  <c r="B220" i="2"/>
  <c r="A221" i="2"/>
  <c r="B221" i="2"/>
  <c r="A222" i="2"/>
  <c r="B222" i="2"/>
  <c r="A223" i="2"/>
  <c r="B223" i="2"/>
  <c r="C223" i="2" s="1"/>
  <c r="A224" i="2"/>
  <c r="B224" i="2"/>
  <c r="A225" i="2"/>
  <c r="B225" i="2"/>
  <c r="A226" i="2"/>
  <c r="B226" i="2"/>
  <c r="A227" i="2"/>
  <c r="B227" i="2"/>
  <c r="A228" i="2"/>
  <c r="B228" i="2"/>
  <c r="C228" i="2" s="1"/>
  <c r="A229" i="2"/>
  <c r="B229" i="2"/>
  <c r="A230" i="2"/>
  <c r="B230" i="2"/>
  <c r="A231" i="2"/>
  <c r="B231" i="2"/>
  <c r="D231" i="2" s="1"/>
  <c r="A232" i="2"/>
  <c r="B232" i="2"/>
  <c r="A233" i="2"/>
  <c r="B233" i="2"/>
  <c r="A234" i="2"/>
  <c r="B234" i="2"/>
  <c r="C234" i="2" s="1"/>
  <c r="A235" i="2"/>
  <c r="B235" i="2"/>
  <c r="A236" i="2"/>
  <c r="B236" i="2"/>
  <c r="A237" i="2"/>
  <c r="B237" i="2"/>
  <c r="A238" i="2"/>
  <c r="B238" i="2"/>
  <c r="A239" i="2"/>
  <c r="B239" i="2"/>
  <c r="A240" i="2"/>
  <c r="B240" i="2"/>
  <c r="A241" i="2"/>
  <c r="B241" i="2"/>
  <c r="C241" i="2" s="1"/>
  <c r="A242" i="2"/>
  <c r="B242" i="2"/>
  <c r="D242" i="2" s="1"/>
  <c r="A243" i="2"/>
  <c r="B243" i="2"/>
  <c r="D243" i="2" s="1"/>
  <c r="A244" i="2"/>
  <c r="B244" i="2"/>
  <c r="A245" i="2"/>
  <c r="B245" i="2"/>
  <c r="A246" i="2"/>
  <c r="B246" i="2"/>
  <c r="A247" i="2"/>
  <c r="B247" i="2"/>
  <c r="A248" i="2"/>
  <c r="B248" i="2"/>
  <c r="A249" i="2"/>
  <c r="B249" i="2"/>
  <c r="D249" i="2" s="1"/>
  <c r="A250" i="2"/>
  <c r="B250" i="2"/>
  <c r="C250" i="2" s="1"/>
  <c r="A251" i="2"/>
  <c r="B251" i="2"/>
  <c r="D251" i="2" s="1"/>
  <c r="A252" i="2"/>
  <c r="B252" i="2"/>
  <c r="C252" i="2" s="1"/>
  <c r="A253" i="2"/>
  <c r="B253" i="2"/>
  <c r="D253" i="2" s="1"/>
  <c r="A254" i="2"/>
  <c r="B254" i="2"/>
  <c r="C254" i="2" s="1"/>
  <c r="A255" i="2"/>
  <c r="B255" i="2"/>
  <c r="A256" i="2"/>
  <c r="B256" i="2"/>
  <c r="A257" i="2"/>
  <c r="B257" i="2"/>
  <c r="A258" i="2"/>
  <c r="B258" i="2"/>
  <c r="A259" i="2"/>
  <c r="B259" i="2"/>
  <c r="C259" i="2" s="1"/>
  <c r="A260" i="2"/>
  <c r="B260" i="2"/>
  <c r="A261" i="2"/>
  <c r="B261" i="2"/>
  <c r="A262" i="2"/>
  <c r="B262" i="2"/>
  <c r="A263" i="2"/>
  <c r="B263" i="2"/>
  <c r="A264" i="2"/>
  <c r="B264" i="2"/>
  <c r="C264" i="2" s="1"/>
  <c r="A265" i="2"/>
  <c r="B265" i="2"/>
  <c r="A266" i="2"/>
  <c r="B266" i="2"/>
  <c r="A267" i="2"/>
  <c r="B267" i="2"/>
  <c r="A268" i="2"/>
  <c r="B268" i="2"/>
  <c r="A269" i="2"/>
  <c r="B269" i="2"/>
  <c r="A270" i="2"/>
  <c r="B270" i="2"/>
  <c r="A271" i="2"/>
  <c r="B271" i="2"/>
  <c r="A272" i="2"/>
  <c r="B272" i="2"/>
  <c r="A273" i="2"/>
  <c r="B273" i="2"/>
  <c r="A274" i="2"/>
  <c r="B274" i="2"/>
  <c r="A275" i="2"/>
  <c r="B275" i="2"/>
  <c r="A276" i="2"/>
  <c r="B276" i="2"/>
  <c r="A277" i="2"/>
  <c r="B277" i="2"/>
  <c r="C277" i="2" s="1"/>
  <c r="A278" i="2"/>
  <c r="B278" i="2"/>
  <c r="A279" i="2"/>
  <c r="B279" i="2"/>
  <c r="A280" i="2"/>
  <c r="B280" i="2"/>
  <c r="C280" i="2" s="1"/>
  <c r="A281" i="2"/>
  <c r="B281" i="2"/>
  <c r="C281" i="2" s="1"/>
  <c r="A282" i="2"/>
  <c r="B282" i="2"/>
  <c r="C282" i="2" s="1"/>
  <c r="A283" i="2"/>
  <c r="B283" i="2"/>
  <c r="A284" i="2"/>
  <c r="B284" i="2"/>
  <c r="B8" i="2"/>
  <c r="A8" i="2"/>
  <c r="B2" i="2"/>
  <c r="C198" i="2" l="1"/>
  <c r="C248" i="2"/>
  <c r="C231" i="2"/>
  <c r="C176" i="2"/>
  <c r="C104" i="2"/>
  <c r="C32" i="2"/>
  <c r="C15" i="2"/>
  <c r="C247" i="2"/>
  <c r="D177" i="2"/>
  <c r="D159" i="2"/>
  <c r="D141" i="2"/>
  <c r="D123" i="2"/>
  <c r="D105" i="2"/>
  <c r="D87" i="2"/>
  <c r="D69" i="2"/>
  <c r="D51" i="2"/>
  <c r="D33" i="2"/>
  <c r="D15" i="2"/>
  <c r="C105" i="2"/>
  <c r="D93" i="2"/>
  <c r="C93" i="2"/>
  <c r="C39" i="2"/>
  <c r="D39" i="2"/>
  <c r="C283" i="2"/>
  <c r="C284" i="2"/>
  <c r="C274" i="2"/>
  <c r="C265" i="2"/>
  <c r="C256" i="2"/>
  <c r="C238" i="2"/>
  <c r="C229" i="2"/>
  <c r="C230" i="2"/>
  <c r="C220" i="2"/>
  <c r="C211" i="2"/>
  <c r="C212" i="2"/>
  <c r="C202" i="2"/>
  <c r="C193" i="2"/>
  <c r="C194" i="2"/>
  <c r="C184" i="2"/>
  <c r="C175" i="2"/>
  <c r="C166" i="2"/>
  <c r="C157" i="2"/>
  <c r="C158" i="2"/>
  <c r="C148" i="2"/>
  <c r="C139" i="2"/>
  <c r="C130" i="2"/>
  <c r="C121" i="2"/>
  <c r="C122" i="2"/>
  <c r="C112" i="2"/>
  <c r="C103" i="2"/>
  <c r="C94" i="2"/>
  <c r="C85" i="2"/>
  <c r="C86" i="2"/>
  <c r="C76" i="2"/>
  <c r="C67" i="2"/>
  <c r="C68" i="2"/>
  <c r="C58" i="2"/>
  <c r="C49" i="2"/>
  <c r="C50" i="2"/>
  <c r="C40" i="2"/>
  <c r="C31" i="2"/>
  <c r="C22" i="2"/>
  <c r="C13" i="2"/>
  <c r="C14" i="2"/>
  <c r="C246" i="2"/>
  <c r="C156" i="2"/>
  <c r="C155" i="2"/>
  <c r="D38" i="2"/>
  <c r="C146" i="2"/>
  <c r="C145" i="2"/>
  <c r="D45" i="2"/>
  <c r="C167" i="2"/>
  <c r="C149" i="2"/>
  <c r="C131" i="2"/>
  <c r="C113" i="2"/>
  <c r="C95" i="2"/>
  <c r="C77" i="2"/>
  <c r="C59" i="2"/>
  <c r="C41" i="2"/>
  <c r="C23" i="2"/>
  <c r="C253" i="2"/>
  <c r="C109" i="2"/>
  <c r="C196" i="2"/>
  <c r="D196" i="2"/>
  <c r="C160" i="2"/>
  <c r="D160" i="2"/>
  <c r="C124" i="2"/>
  <c r="D124" i="2"/>
  <c r="C16" i="2"/>
  <c r="D16" i="2"/>
  <c r="D250" i="2"/>
  <c r="D43" i="2"/>
  <c r="D97" i="2"/>
  <c r="C258" i="2"/>
  <c r="D258" i="2"/>
  <c r="C240" i="2"/>
  <c r="D240" i="2"/>
  <c r="C204" i="2"/>
  <c r="D204" i="2"/>
  <c r="C60" i="2"/>
  <c r="D60" i="2"/>
  <c r="D260" i="2"/>
  <c r="D216" i="2"/>
  <c r="D169" i="2"/>
  <c r="D111" i="2"/>
  <c r="D70" i="2"/>
  <c r="D280" i="2"/>
  <c r="C271" i="2"/>
  <c r="D271" i="2"/>
  <c r="D262" i="2"/>
  <c r="D244" i="2"/>
  <c r="C244" i="2"/>
  <c r="C235" i="2"/>
  <c r="D235" i="2"/>
  <c r="D226" i="2"/>
  <c r="D208" i="2"/>
  <c r="C208" i="2"/>
  <c r="D199" i="2"/>
  <c r="D190" i="2"/>
  <c r="D172" i="2"/>
  <c r="C172" i="2"/>
  <c r="D163" i="2"/>
  <c r="D154" i="2"/>
  <c r="D136" i="2"/>
  <c r="C136" i="2"/>
  <c r="D127" i="2"/>
  <c r="D118" i="2"/>
  <c r="D100" i="2"/>
  <c r="C100" i="2"/>
  <c r="D91" i="2"/>
  <c r="D82" i="2"/>
  <c r="D64" i="2"/>
  <c r="C64" i="2"/>
  <c r="D55" i="2"/>
  <c r="D46" i="2"/>
  <c r="D28" i="2"/>
  <c r="C28" i="2"/>
  <c r="D19" i="2"/>
  <c r="D10" i="2"/>
  <c r="C163" i="2"/>
  <c r="C33" i="2"/>
  <c r="D259" i="2"/>
  <c r="D215" i="2"/>
  <c r="D165" i="2"/>
  <c r="D110" i="2"/>
  <c r="D63" i="2"/>
  <c r="C249" i="2"/>
  <c r="C200" i="2"/>
  <c r="C159" i="2"/>
  <c r="C119" i="2"/>
  <c r="C74" i="2"/>
  <c r="D255" i="2"/>
  <c r="D214" i="2"/>
  <c r="D153" i="2"/>
  <c r="D62" i="2"/>
  <c r="C199" i="2"/>
  <c r="C118" i="2"/>
  <c r="C73" i="2"/>
  <c r="D254" i="2"/>
  <c r="D207" i="2"/>
  <c r="D152" i="2"/>
  <c r="D108" i="2"/>
  <c r="D61" i="2"/>
  <c r="C69" i="2"/>
  <c r="D206" i="2"/>
  <c r="D151" i="2"/>
  <c r="D107" i="2"/>
  <c r="D57" i="2"/>
  <c r="C278" i="2"/>
  <c r="C279" i="2"/>
  <c r="C269" i="2"/>
  <c r="D269" i="2"/>
  <c r="C270" i="2"/>
  <c r="C260" i="2"/>
  <c r="C261" i="2"/>
  <c r="C251" i="2"/>
  <c r="C243" i="2"/>
  <c r="C242" i="2"/>
  <c r="C233" i="2"/>
  <c r="D233" i="2"/>
  <c r="C224" i="2"/>
  <c r="C225" i="2"/>
  <c r="C215" i="2"/>
  <c r="C206" i="2"/>
  <c r="C207" i="2"/>
  <c r="C197" i="2"/>
  <c r="D197" i="2"/>
  <c r="C189" i="2"/>
  <c r="C188" i="2"/>
  <c r="C179" i="2"/>
  <c r="C180" i="2"/>
  <c r="C170" i="2"/>
  <c r="C171" i="2"/>
  <c r="C161" i="2"/>
  <c r="C162" i="2"/>
  <c r="D161" i="2"/>
  <c r="C152" i="2"/>
  <c r="C153" i="2"/>
  <c r="C143" i="2"/>
  <c r="C144" i="2"/>
  <c r="C135" i="2"/>
  <c r="C134" i="2"/>
  <c r="C125" i="2"/>
  <c r="C126" i="2"/>
  <c r="D125" i="2"/>
  <c r="C116" i="2"/>
  <c r="C117" i="2"/>
  <c r="C107" i="2"/>
  <c r="C108" i="2"/>
  <c r="C98" i="2"/>
  <c r="C99" i="2"/>
  <c r="C89" i="2"/>
  <c r="C90" i="2"/>
  <c r="D89" i="2"/>
  <c r="C81" i="2"/>
  <c r="C80" i="2"/>
  <c r="C71" i="2"/>
  <c r="C72" i="2"/>
  <c r="C62" i="2"/>
  <c r="C63" i="2"/>
  <c r="C53" i="2"/>
  <c r="C54" i="2"/>
  <c r="D53" i="2"/>
  <c r="C44" i="2"/>
  <c r="C45" i="2"/>
  <c r="C35" i="2"/>
  <c r="C36" i="2"/>
  <c r="C27" i="2"/>
  <c r="C26" i="2"/>
  <c r="C17" i="2"/>
  <c r="C18" i="2"/>
  <c r="D17" i="2"/>
  <c r="C9" i="2"/>
  <c r="C195" i="2"/>
  <c r="D252" i="2"/>
  <c r="D205" i="2"/>
  <c r="D147" i="2"/>
  <c r="D106" i="2"/>
  <c r="C268" i="2"/>
  <c r="D268" i="2"/>
  <c r="C232" i="2"/>
  <c r="D232" i="2"/>
  <c r="C88" i="2"/>
  <c r="D88" i="2"/>
  <c r="C52" i="2"/>
  <c r="D52" i="2"/>
  <c r="C276" i="2"/>
  <c r="D276" i="2"/>
  <c r="C222" i="2"/>
  <c r="D222" i="2"/>
  <c r="C186" i="2"/>
  <c r="D186" i="2"/>
  <c r="C168" i="2"/>
  <c r="D168" i="2"/>
  <c r="C150" i="2"/>
  <c r="D150" i="2"/>
  <c r="C132" i="2"/>
  <c r="D132" i="2"/>
  <c r="C114" i="2"/>
  <c r="D114" i="2"/>
  <c r="C96" i="2"/>
  <c r="D96" i="2"/>
  <c r="C78" i="2"/>
  <c r="D78" i="2"/>
  <c r="D187" i="2"/>
  <c r="D9" i="2"/>
  <c r="D18" i="2"/>
  <c r="D54" i="2"/>
  <c r="D90" i="2"/>
  <c r="D126" i="2"/>
  <c r="D162" i="2"/>
  <c r="D198" i="2"/>
  <c r="D234" i="2"/>
  <c r="D270" i="2"/>
  <c r="C51" i="2"/>
  <c r="D241" i="2"/>
  <c r="D183" i="2"/>
  <c r="D81" i="2"/>
  <c r="D266" i="2"/>
  <c r="C266" i="2"/>
  <c r="C227" i="2"/>
  <c r="C141" i="2"/>
  <c r="C92" i="2"/>
  <c r="D237" i="2"/>
  <c r="D182" i="2"/>
  <c r="D135" i="2"/>
  <c r="D36" i="2"/>
  <c r="C226" i="2"/>
  <c r="C182" i="2"/>
  <c r="C10" i="2"/>
  <c r="D225" i="2"/>
  <c r="D181" i="2"/>
  <c r="D134" i="2"/>
  <c r="D35" i="2"/>
  <c r="C87" i="2"/>
  <c r="D279" i="2"/>
  <c r="D224" i="2"/>
  <c r="D180" i="2"/>
  <c r="D133" i="2"/>
  <c r="D34" i="2"/>
  <c r="C263" i="2"/>
  <c r="C218" i="2"/>
  <c r="C177" i="2"/>
  <c r="C128" i="2"/>
  <c r="C47" i="2"/>
  <c r="D278" i="2"/>
  <c r="D223" i="2"/>
  <c r="D179" i="2"/>
  <c r="D129" i="2"/>
  <c r="D27" i="2"/>
  <c r="C262" i="2"/>
  <c r="C217" i="2"/>
  <c r="C46" i="2"/>
  <c r="D277" i="2"/>
  <c r="D219" i="2"/>
  <c r="D178" i="2"/>
  <c r="D117" i="2"/>
  <c r="D26" i="2"/>
  <c r="C255" i="2"/>
  <c r="C123" i="2"/>
  <c r="D273" i="2"/>
  <c r="D171" i="2"/>
  <c r="D116" i="2"/>
  <c r="D72" i="2"/>
  <c r="D25" i="2"/>
  <c r="D267" i="2"/>
  <c r="C267" i="2"/>
  <c r="C42" i="2"/>
  <c r="D42" i="2"/>
  <c r="C24" i="2"/>
  <c r="D24" i="2"/>
  <c r="D142" i="2"/>
  <c r="D37" i="2"/>
  <c r="D284" i="2"/>
  <c r="C275" i="2"/>
  <c r="D275" i="2"/>
  <c r="D80" i="2"/>
  <c r="C91" i="2"/>
  <c r="D79" i="2"/>
  <c r="D75" i="2"/>
  <c r="D74" i="2"/>
  <c r="C127" i="2"/>
  <c r="D281" i="2"/>
  <c r="C272" i="2"/>
  <c r="D272" i="2"/>
  <c r="C273" i="2"/>
  <c r="D263" i="2"/>
  <c r="D245" i="2"/>
  <c r="C245" i="2"/>
  <c r="C236" i="2"/>
  <c r="C237" i="2"/>
  <c r="D236" i="2"/>
  <c r="D227" i="2"/>
  <c r="D209" i="2"/>
  <c r="C209" i="2"/>
  <c r="C210" i="2"/>
  <c r="C201" i="2"/>
  <c r="D200" i="2"/>
  <c r="D191" i="2"/>
  <c r="D173" i="2"/>
  <c r="C173" i="2"/>
  <c r="C174" i="2"/>
  <c r="D164" i="2"/>
  <c r="D155" i="2"/>
  <c r="D137" i="2"/>
  <c r="C137" i="2"/>
  <c r="C138" i="2"/>
  <c r="D128" i="2"/>
  <c r="D119" i="2"/>
  <c r="D101" i="2"/>
  <c r="C101" i="2"/>
  <c r="C102" i="2"/>
  <c r="D92" i="2"/>
  <c r="D83" i="2"/>
  <c r="D65" i="2"/>
  <c r="C65" i="2"/>
  <c r="C66" i="2"/>
  <c r="D56" i="2"/>
  <c r="D47" i="2"/>
  <c r="D29" i="2"/>
  <c r="C29" i="2"/>
  <c r="C30" i="2"/>
  <c r="D20" i="2"/>
  <c r="D11" i="2"/>
  <c r="C213" i="2"/>
  <c r="C165" i="2"/>
  <c r="C83" i="2"/>
  <c r="D261" i="2"/>
  <c r="D170" i="2"/>
  <c r="D115" i="2"/>
  <c r="D71" i="2"/>
  <c r="D21" i="2"/>
  <c r="C257" i="2"/>
  <c r="D257" i="2"/>
  <c r="D248" i="2"/>
  <c r="C239" i="2"/>
  <c r="D239" i="2"/>
  <c r="D230" i="2"/>
  <c r="C221" i="2"/>
  <c r="D221" i="2"/>
  <c r="D212" i="2"/>
  <c r="C203" i="2"/>
  <c r="D203" i="2"/>
  <c r="D194" i="2"/>
  <c r="C185" i="2"/>
  <c r="D185" i="2"/>
  <c r="D176" i="2"/>
  <c r="D158" i="2"/>
  <c r="D140" i="2"/>
  <c r="D122" i="2"/>
  <c r="D104" i="2"/>
  <c r="D86" i="2"/>
  <c r="D68" i="2"/>
  <c r="D50" i="2"/>
  <c r="D32" i="2"/>
  <c r="D14" i="2"/>
  <c r="C140" i="2"/>
  <c r="D283" i="2"/>
  <c r="D265" i="2"/>
  <c r="D247" i="2"/>
  <c r="D229" i="2"/>
  <c r="D211" i="2"/>
  <c r="D193" i="2"/>
  <c r="D175" i="2"/>
  <c r="D157" i="2"/>
  <c r="D139" i="2"/>
  <c r="D121" i="2"/>
  <c r="D103" i="2"/>
  <c r="D85" i="2"/>
  <c r="D67" i="2"/>
  <c r="D49" i="2"/>
  <c r="D31" i="2"/>
  <c r="D13" i="2"/>
  <c r="D282" i="2"/>
  <c r="D264" i="2"/>
  <c r="D246" i="2"/>
  <c r="D228" i="2"/>
  <c r="D210" i="2"/>
  <c r="D192" i="2"/>
  <c r="D174" i="2"/>
  <c r="D156" i="2"/>
  <c r="D138" i="2"/>
  <c r="D120" i="2"/>
  <c r="D102" i="2"/>
  <c r="D84" i="2"/>
  <c r="D66" i="2"/>
  <c r="D48" i="2"/>
  <c r="D30" i="2"/>
  <c r="D12" i="2"/>
  <c r="D167" i="2"/>
  <c r="D149" i="2"/>
  <c r="D131" i="2"/>
  <c r="D113" i="2"/>
  <c r="D95" i="2"/>
  <c r="D77" i="2"/>
  <c r="D59" i="2"/>
  <c r="D41" i="2"/>
  <c r="D23" i="2"/>
  <c r="D274" i="2"/>
  <c r="D256" i="2"/>
  <c r="D238" i="2"/>
  <c r="D220" i="2"/>
  <c r="D202" i="2"/>
  <c r="D184" i="2"/>
  <c r="D166" i="2"/>
  <c r="D148" i="2"/>
  <c r="D130" i="2"/>
  <c r="D112" i="2"/>
  <c r="D94" i="2"/>
  <c r="D76" i="2"/>
  <c r="D58" i="2"/>
  <c r="D40" i="2"/>
  <c r="D22" i="2"/>
</calcChain>
</file>

<file path=xl/sharedStrings.xml><?xml version="1.0" encoding="utf-8"?>
<sst xmlns="http://schemas.openxmlformats.org/spreadsheetml/2006/main" count="20" uniqueCount="19">
  <si>
    <t>Date</t>
  </si>
  <si>
    <t>Cash ($)</t>
  </si>
  <si>
    <t>Account Value ($)</t>
  </si>
  <si>
    <t>Portfolio Summary Metrics</t>
  </si>
  <si>
    <t>Cumulative Return:</t>
  </si>
  <si>
    <t>Mean Daily Return:</t>
  </si>
  <si>
    <t>Daily Volatility:</t>
  </si>
  <si>
    <t>Stock ($)</t>
  </si>
  <si>
    <t>Option ($)</t>
  </si>
  <si>
    <t>Short ($)</t>
  </si>
  <si>
    <t>Account Value</t>
  </si>
  <si>
    <t>Daily Return</t>
  </si>
  <si>
    <t>Running Cumulative Return</t>
  </si>
  <si>
    <t>Portfolio Performance Dashboard</t>
  </si>
  <si>
    <t>Cumulative Return</t>
  </si>
  <si>
    <t>Time Period: 27 Dec, 2024 - 14 Feb, 2026</t>
  </si>
  <si>
    <t>Annualized Volatility</t>
  </si>
  <si>
    <t>Sharpe Ratio</t>
  </si>
  <si>
    <t>Annualized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</si>
</sst>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left" wrapText="1"/>
    </xf>
    <xf numFmtId="0" fontId="4" fillId="0" borderId="0" xfId="0" applyFont="1" applyAlignment="1">
      <alignment wrapText="1"/>
    </xf>
    <xf numFmtId="4" fontId="4" fillId="0" borderId="0" xfId="0" applyNumberFormat="1" applyFont="1" applyAlignment="1">
      <alignment wrapText="1"/>
    </xf>
    <xf numFmtId="10" fontId="0" fillId="0" borderId="0" xfId="1" applyNumberFormat="1" applyFont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14" fontId="0" fillId="0" borderId="0" xfId="0" applyNumberFormat="1"/>
    <xf numFmtId="4" fontId="0" fillId="0" borderId="0" xfId="0" applyNumberFormat="1"/>
    <xf numFmtId="10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0" fontId="0" fillId="2" borderId="0" xfId="0" applyNumberFormat="1" applyFill="1" applyAlignment="1">
      <alignment horizontal="right"/>
    </xf>
    <xf numFmtId="2" fontId="0" fillId="0" borderId="0" xfId="0" applyNumberFormat="1"/>
    <xf numFmtId="0" fontId="0" fillId="0" borderId="3" xfId="0" applyBorder="1" applyAlignment="1">
      <alignment horizontal="center"/>
    </xf>
    <xf numFmtId="10" fontId="0" fillId="0" borderId="3" xfId="1" applyNumberFormat="1" applyFont="1" applyFill="1" applyBorder="1" applyAlignment="1">
      <alignment horizontal="center"/>
    </xf>
    <xf numFmtId="164" fontId="0" fillId="0" borderId="3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latin typeface="+mj-lt"/>
              </a:rPr>
              <a:t>Portfolio Value Over Time</a:t>
            </a:r>
            <a:endParaRPr lang="en-US" sz="1800">
              <a:latin typeface="+mj-lt"/>
            </a:endParaRPr>
          </a:p>
        </c:rich>
      </c:tx>
      <c:layout>
        <c:manualLayout>
          <c:xMode val="edge"/>
          <c:yMode val="edge"/>
          <c:x val="0.32172813736554201"/>
          <c:y val="6.605327117481771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70102926055233"/>
          <c:y val="0.20668049409508524"/>
          <c:w val="0.78768022747156607"/>
          <c:h val="0.63921628967851474"/>
        </c:manualLayout>
      </c:layout>
      <c:lineChart>
        <c:grouping val="standard"/>
        <c:varyColors val="0"/>
        <c:ser>
          <c:idx val="0"/>
          <c:order val="0"/>
          <c:tx>
            <c:v>Account Value ($)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Raw_data!$A$2:$A$279</c:f>
              <c:numCache>
                <c:formatCode>m/d/yyyy</c:formatCode>
                <c:ptCount val="278"/>
                <c:pt idx="0">
                  <c:v>45653</c:v>
                </c:pt>
                <c:pt idx="1">
                  <c:v>45657</c:v>
                </c:pt>
                <c:pt idx="2">
                  <c:v>45661</c:v>
                </c:pt>
                <c:pt idx="3">
                  <c:v>45668</c:v>
                </c:pt>
                <c:pt idx="4">
                  <c:v>45673</c:v>
                </c:pt>
                <c:pt idx="5">
                  <c:v>45679</c:v>
                </c:pt>
                <c:pt idx="6">
                  <c:v>45681</c:v>
                </c:pt>
                <c:pt idx="7">
                  <c:v>45686</c:v>
                </c:pt>
                <c:pt idx="8">
                  <c:v>45692</c:v>
                </c:pt>
                <c:pt idx="9">
                  <c:v>45693</c:v>
                </c:pt>
                <c:pt idx="10">
                  <c:v>45694</c:v>
                </c:pt>
                <c:pt idx="11">
                  <c:v>45695</c:v>
                </c:pt>
                <c:pt idx="12">
                  <c:v>45696</c:v>
                </c:pt>
                <c:pt idx="13">
                  <c:v>45699</c:v>
                </c:pt>
                <c:pt idx="14">
                  <c:v>45700</c:v>
                </c:pt>
                <c:pt idx="15">
                  <c:v>45701</c:v>
                </c:pt>
                <c:pt idx="16">
                  <c:v>45702</c:v>
                </c:pt>
                <c:pt idx="17">
                  <c:v>45703</c:v>
                </c:pt>
                <c:pt idx="18">
                  <c:v>45706</c:v>
                </c:pt>
                <c:pt idx="19">
                  <c:v>45707</c:v>
                </c:pt>
                <c:pt idx="20">
                  <c:v>45708</c:v>
                </c:pt>
                <c:pt idx="21">
                  <c:v>45709</c:v>
                </c:pt>
                <c:pt idx="22">
                  <c:v>45710</c:v>
                </c:pt>
                <c:pt idx="23">
                  <c:v>45713</c:v>
                </c:pt>
                <c:pt idx="24">
                  <c:v>45714</c:v>
                </c:pt>
                <c:pt idx="25">
                  <c:v>45715</c:v>
                </c:pt>
                <c:pt idx="26">
                  <c:v>45716</c:v>
                </c:pt>
                <c:pt idx="27">
                  <c:v>45717</c:v>
                </c:pt>
                <c:pt idx="28">
                  <c:v>45720</c:v>
                </c:pt>
                <c:pt idx="29">
                  <c:v>45721</c:v>
                </c:pt>
                <c:pt idx="30">
                  <c:v>45722</c:v>
                </c:pt>
                <c:pt idx="31">
                  <c:v>45723</c:v>
                </c:pt>
                <c:pt idx="32">
                  <c:v>45724</c:v>
                </c:pt>
                <c:pt idx="33">
                  <c:v>45727</c:v>
                </c:pt>
                <c:pt idx="34">
                  <c:v>45728</c:v>
                </c:pt>
                <c:pt idx="35">
                  <c:v>45729</c:v>
                </c:pt>
                <c:pt idx="36">
                  <c:v>45730</c:v>
                </c:pt>
                <c:pt idx="37">
                  <c:v>45731</c:v>
                </c:pt>
                <c:pt idx="38">
                  <c:v>45734</c:v>
                </c:pt>
                <c:pt idx="39">
                  <c:v>45735</c:v>
                </c:pt>
                <c:pt idx="40">
                  <c:v>45736</c:v>
                </c:pt>
                <c:pt idx="41">
                  <c:v>45737</c:v>
                </c:pt>
                <c:pt idx="42">
                  <c:v>45738</c:v>
                </c:pt>
                <c:pt idx="43">
                  <c:v>45741</c:v>
                </c:pt>
                <c:pt idx="44">
                  <c:v>45742</c:v>
                </c:pt>
                <c:pt idx="45">
                  <c:v>45743</c:v>
                </c:pt>
                <c:pt idx="46">
                  <c:v>45744</c:v>
                </c:pt>
                <c:pt idx="47">
                  <c:v>45745</c:v>
                </c:pt>
                <c:pt idx="48">
                  <c:v>45748</c:v>
                </c:pt>
                <c:pt idx="49">
                  <c:v>45749</c:v>
                </c:pt>
                <c:pt idx="50">
                  <c:v>45750</c:v>
                </c:pt>
                <c:pt idx="51">
                  <c:v>45751</c:v>
                </c:pt>
                <c:pt idx="52">
                  <c:v>45752</c:v>
                </c:pt>
                <c:pt idx="53">
                  <c:v>45755</c:v>
                </c:pt>
                <c:pt idx="54">
                  <c:v>45756</c:v>
                </c:pt>
                <c:pt idx="55">
                  <c:v>45757</c:v>
                </c:pt>
                <c:pt idx="56">
                  <c:v>45758</c:v>
                </c:pt>
                <c:pt idx="57">
                  <c:v>45759</c:v>
                </c:pt>
                <c:pt idx="58">
                  <c:v>45762</c:v>
                </c:pt>
                <c:pt idx="59">
                  <c:v>45763</c:v>
                </c:pt>
                <c:pt idx="60">
                  <c:v>45764</c:v>
                </c:pt>
                <c:pt idx="61">
                  <c:v>45765</c:v>
                </c:pt>
                <c:pt idx="62">
                  <c:v>45766</c:v>
                </c:pt>
                <c:pt idx="63">
                  <c:v>45769</c:v>
                </c:pt>
                <c:pt idx="64">
                  <c:v>45770</c:v>
                </c:pt>
                <c:pt idx="65">
                  <c:v>45771</c:v>
                </c:pt>
                <c:pt idx="66">
                  <c:v>45772</c:v>
                </c:pt>
                <c:pt idx="67">
                  <c:v>45773</c:v>
                </c:pt>
                <c:pt idx="68">
                  <c:v>45776</c:v>
                </c:pt>
                <c:pt idx="69">
                  <c:v>45777</c:v>
                </c:pt>
                <c:pt idx="70">
                  <c:v>45778</c:v>
                </c:pt>
                <c:pt idx="71">
                  <c:v>45779</c:v>
                </c:pt>
                <c:pt idx="72">
                  <c:v>45780</c:v>
                </c:pt>
                <c:pt idx="73">
                  <c:v>45783</c:v>
                </c:pt>
                <c:pt idx="74">
                  <c:v>45784</c:v>
                </c:pt>
                <c:pt idx="75">
                  <c:v>45785</c:v>
                </c:pt>
                <c:pt idx="76">
                  <c:v>45786</c:v>
                </c:pt>
                <c:pt idx="77">
                  <c:v>45787</c:v>
                </c:pt>
                <c:pt idx="78">
                  <c:v>45790</c:v>
                </c:pt>
                <c:pt idx="79">
                  <c:v>45791</c:v>
                </c:pt>
                <c:pt idx="80">
                  <c:v>45792</c:v>
                </c:pt>
                <c:pt idx="81">
                  <c:v>45793</c:v>
                </c:pt>
                <c:pt idx="82">
                  <c:v>45794</c:v>
                </c:pt>
                <c:pt idx="83">
                  <c:v>45797</c:v>
                </c:pt>
                <c:pt idx="84">
                  <c:v>45798</c:v>
                </c:pt>
                <c:pt idx="85">
                  <c:v>45799</c:v>
                </c:pt>
                <c:pt idx="86">
                  <c:v>45800</c:v>
                </c:pt>
                <c:pt idx="87">
                  <c:v>45801</c:v>
                </c:pt>
                <c:pt idx="88">
                  <c:v>45804</c:v>
                </c:pt>
                <c:pt idx="89">
                  <c:v>45805</c:v>
                </c:pt>
                <c:pt idx="90">
                  <c:v>45806</c:v>
                </c:pt>
                <c:pt idx="91">
                  <c:v>45807</c:v>
                </c:pt>
                <c:pt idx="92">
                  <c:v>45808</c:v>
                </c:pt>
                <c:pt idx="93">
                  <c:v>45811</c:v>
                </c:pt>
                <c:pt idx="94">
                  <c:v>45812</c:v>
                </c:pt>
                <c:pt idx="95">
                  <c:v>45813</c:v>
                </c:pt>
                <c:pt idx="96">
                  <c:v>45814</c:v>
                </c:pt>
                <c:pt idx="97">
                  <c:v>45815</c:v>
                </c:pt>
                <c:pt idx="98">
                  <c:v>45818</c:v>
                </c:pt>
                <c:pt idx="99">
                  <c:v>45819</c:v>
                </c:pt>
                <c:pt idx="100">
                  <c:v>45820</c:v>
                </c:pt>
                <c:pt idx="101">
                  <c:v>45821</c:v>
                </c:pt>
                <c:pt idx="102">
                  <c:v>45822</c:v>
                </c:pt>
                <c:pt idx="103">
                  <c:v>45825</c:v>
                </c:pt>
                <c:pt idx="104">
                  <c:v>45826</c:v>
                </c:pt>
                <c:pt idx="105">
                  <c:v>45827</c:v>
                </c:pt>
                <c:pt idx="106">
                  <c:v>45828</c:v>
                </c:pt>
                <c:pt idx="107">
                  <c:v>45829</c:v>
                </c:pt>
                <c:pt idx="108">
                  <c:v>45832</c:v>
                </c:pt>
                <c:pt idx="109">
                  <c:v>45833</c:v>
                </c:pt>
                <c:pt idx="110">
                  <c:v>45834</c:v>
                </c:pt>
                <c:pt idx="111">
                  <c:v>45835</c:v>
                </c:pt>
                <c:pt idx="112">
                  <c:v>45836</c:v>
                </c:pt>
                <c:pt idx="113">
                  <c:v>45839</c:v>
                </c:pt>
                <c:pt idx="114">
                  <c:v>45840</c:v>
                </c:pt>
                <c:pt idx="115">
                  <c:v>45841</c:v>
                </c:pt>
                <c:pt idx="116">
                  <c:v>45842</c:v>
                </c:pt>
                <c:pt idx="117">
                  <c:v>45843</c:v>
                </c:pt>
                <c:pt idx="118">
                  <c:v>45846</c:v>
                </c:pt>
                <c:pt idx="119">
                  <c:v>45847</c:v>
                </c:pt>
                <c:pt idx="120">
                  <c:v>45848</c:v>
                </c:pt>
                <c:pt idx="121">
                  <c:v>45849</c:v>
                </c:pt>
                <c:pt idx="122">
                  <c:v>45850</c:v>
                </c:pt>
                <c:pt idx="123">
                  <c:v>45853</c:v>
                </c:pt>
                <c:pt idx="124">
                  <c:v>45854</c:v>
                </c:pt>
                <c:pt idx="125">
                  <c:v>45855</c:v>
                </c:pt>
                <c:pt idx="126">
                  <c:v>45856</c:v>
                </c:pt>
                <c:pt idx="127">
                  <c:v>45857</c:v>
                </c:pt>
                <c:pt idx="128">
                  <c:v>45860</c:v>
                </c:pt>
                <c:pt idx="129">
                  <c:v>45861</c:v>
                </c:pt>
                <c:pt idx="130">
                  <c:v>45862</c:v>
                </c:pt>
                <c:pt idx="131">
                  <c:v>45863</c:v>
                </c:pt>
                <c:pt idx="132">
                  <c:v>45864</c:v>
                </c:pt>
                <c:pt idx="133">
                  <c:v>45867</c:v>
                </c:pt>
                <c:pt idx="134">
                  <c:v>45868</c:v>
                </c:pt>
                <c:pt idx="135">
                  <c:v>45869</c:v>
                </c:pt>
                <c:pt idx="136">
                  <c:v>45870</c:v>
                </c:pt>
                <c:pt idx="137">
                  <c:v>45871</c:v>
                </c:pt>
                <c:pt idx="138">
                  <c:v>45874</c:v>
                </c:pt>
                <c:pt idx="139">
                  <c:v>45875</c:v>
                </c:pt>
                <c:pt idx="140">
                  <c:v>45876</c:v>
                </c:pt>
                <c:pt idx="141">
                  <c:v>45877</c:v>
                </c:pt>
                <c:pt idx="142">
                  <c:v>45878</c:v>
                </c:pt>
                <c:pt idx="143">
                  <c:v>45881</c:v>
                </c:pt>
                <c:pt idx="144">
                  <c:v>45882</c:v>
                </c:pt>
                <c:pt idx="145">
                  <c:v>45883</c:v>
                </c:pt>
                <c:pt idx="146">
                  <c:v>45884</c:v>
                </c:pt>
                <c:pt idx="147">
                  <c:v>45885</c:v>
                </c:pt>
                <c:pt idx="148">
                  <c:v>45888</c:v>
                </c:pt>
                <c:pt idx="149">
                  <c:v>45889</c:v>
                </c:pt>
                <c:pt idx="150">
                  <c:v>45890</c:v>
                </c:pt>
                <c:pt idx="151">
                  <c:v>45891</c:v>
                </c:pt>
                <c:pt idx="152">
                  <c:v>45892</c:v>
                </c:pt>
                <c:pt idx="153">
                  <c:v>45895</c:v>
                </c:pt>
                <c:pt idx="154">
                  <c:v>45896</c:v>
                </c:pt>
                <c:pt idx="155">
                  <c:v>45897</c:v>
                </c:pt>
                <c:pt idx="156">
                  <c:v>45898</c:v>
                </c:pt>
                <c:pt idx="157">
                  <c:v>45899</c:v>
                </c:pt>
                <c:pt idx="158">
                  <c:v>45902</c:v>
                </c:pt>
                <c:pt idx="159">
                  <c:v>45903</c:v>
                </c:pt>
                <c:pt idx="160">
                  <c:v>45904</c:v>
                </c:pt>
                <c:pt idx="161">
                  <c:v>45905</c:v>
                </c:pt>
                <c:pt idx="162">
                  <c:v>45906</c:v>
                </c:pt>
                <c:pt idx="163">
                  <c:v>45909</c:v>
                </c:pt>
                <c:pt idx="164">
                  <c:v>45910</c:v>
                </c:pt>
                <c:pt idx="165">
                  <c:v>45911</c:v>
                </c:pt>
                <c:pt idx="166">
                  <c:v>45912</c:v>
                </c:pt>
                <c:pt idx="167">
                  <c:v>45913</c:v>
                </c:pt>
                <c:pt idx="168">
                  <c:v>45916</c:v>
                </c:pt>
                <c:pt idx="169">
                  <c:v>45917</c:v>
                </c:pt>
                <c:pt idx="170">
                  <c:v>45918</c:v>
                </c:pt>
                <c:pt idx="171">
                  <c:v>45919</c:v>
                </c:pt>
                <c:pt idx="172">
                  <c:v>45920</c:v>
                </c:pt>
                <c:pt idx="173">
                  <c:v>45923</c:v>
                </c:pt>
                <c:pt idx="174">
                  <c:v>45924</c:v>
                </c:pt>
                <c:pt idx="175">
                  <c:v>45925</c:v>
                </c:pt>
                <c:pt idx="176">
                  <c:v>45926</c:v>
                </c:pt>
                <c:pt idx="177">
                  <c:v>45927</c:v>
                </c:pt>
                <c:pt idx="178">
                  <c:v>45930</c:v>
                </c:pt>
                <c:pt idx="179">
                  <c:v>45931</c:v>
                </c:pt>
                <c:pt idx="180">
                  <c:v>45932</c:v>
                </c:pt>
                <c:pt idx="181">
                  <c:v>45933</c:v>
                </c:pt>
                <c:pt idx="182">
                  <c:v>45934</c:v>
                </c:pt>
                <c:pt idx="183">
                  <c:v>45937</c:v>
                </c:pt>
                <c:pt idx="184">
                  <c:v>45938</c:v>
                </c:pt>
                <c:pt idx="185">
                  <c:v>45939</c:v>
                </c:pt>
                <c:pt idx="186">
                  <c:v>45940</c:v>
                </c:pt>
                <c:pt idx="187">
                  <c:v>45941</c:v>
                </c:pt>
                <c:pt idx="188">
                  <c:v>45944</c:v>
                </c:pt>
                <c:pt idx="189">
                  <c:v>45945</c:v>
                </c:pt>
                <c:pt idx="190">
                  <c:v>45946</c:v>
                </c:pt>
                <c:pt idx="191">
                  <c:v>45947</c:v>
                </c:pt>
                <c:pt idx="192">
                  <c:v>45948</c:v>
                </c:pt>
                <c:pt idx="193">
                  <c:v>45951</c:v>
                </c:pt>
                <c:pt idx="194">
                  <c:v>45952</c:v>
                </c:pt>
                <c:pt idx="195">
                  <c:v>45953</c:v>
                </c:pt>
                <c:pt idx="196">
                  <c:v>45954</c:v>
                </c:pt>
                <c:pt idx="197">
                  <c:v>45955</c:v>
                </c:pt>
                <c:pt idx="198">
                  <c:v>45958</c:v>
                </c:pt>
                <c:pt idx="199">
                  <c:v>45959</c:v>
                </c:pt>
                <c:pt idx="200">
                  <c:v>45960</c:v>
                </c:pt>
                <c:pt idx="201">
                  <c:v>45961</c:v>
                </c:pt>
                <c:pt idx="202">
                  <c:v>45962</c:v>
                </c:pt>
                <c:pt idx="203">
                  <c:v>45965</c:v>
                </c:pt>
                <c:pt idx="204">
                  <c:v>45966</c:v>
                </c:pt>
                <c:pt idx="205">
                  <c:v>45967</c:v>
                </c:pt>
                <c:pt idx="206">
                  <c:v>45968</c:v>
                </c:pt>
                <c:pt idx="207">
                  <c:v>45969</c:v>
                </c:pt>
                <c:pt idx="208">
                  <c:v>45972</c:v>
                </c:pt>
                <c:pt idx="209">
                  <c:v>45973</c:v>
                </c:pt>
                <c:pt idx="210">
                  <c:v>45974</c:v>
                </c:pt>
                <c:pt idx="211">
                  <c:v>45975</c:v>
                </c:pt>
                <c:pt idx="212">
                  <c:v>45976</c:v>
                </c:pt>
                <c:pt idx="213">
                  <c:v>45979</c:v>
                </c:pt>
                <c:pt idx="214">
                  <c:v>45980</c:v>
                </c:pt>
                <c:pt idx="215">
                  <c:v>45981</c:v>
                </c:pt>
                <c:pt idx="216">
                  <c:v>45982</c:v>
                </c:pt>
                <c:pt idx="217">
                  <c:v>45983</c:v>
                </c:pt>
                <c:pt idx="218">
                  <c:v>45986</c:v>
                </c:pt>
                <c:pt idx="219">
                  <c:v>45987</c:v>
                </c:pt>
                <c:pt idx="220">
                  <c:v>45988</c:v>
                </c:pt>
                <c:pt idx="221">
                  <c:v>45989</c:v>
                </c:pt>
                <c:pt idx="222">
                  <c:v>45990</c:v>
                </c:pt>
                <c:pt idx="223">
                  <c:v>45993</c:v>
                </c:pt>
                <c:pt idx="224">
                  <c:v>45994</c:v>
                </c:pt>
                <c:pt idx="225">
                  <c:v>45995</c:v>
                </c:pt>
                <c:pt idx="226">
                  <c:v>45996</c:v>
                </c:pt>
                <c:pt idx="227">
                  <c:v>45997</c:v>
                </c:pt>
                <c:pt idx="228">
                  <c:v>46000</c:v>
                </c:pt>
                <c:pt idx="229">
                  <c:v>46001</c:v>
                </c:pt>
                <c:pt idx="230">
                  <c:v>46002</c:v>
                </c:pt>
                <c:pt idx="231">
                  <c:v>46003</c:v>
                </c:pt>
                <c:pt idx="232">
                  <c:v>46004</c:v>
                </c:pt>
                <c:pt idx="233">
                  <c:v>46007</c:v>
                </c:pt>
                <c:pt idx="234">
                  <c:v>46008</c:v>
                </c:pt>
                <c:pt idx="235">
                  <c:v>46009</c:v>
                </c:pt>
                <c:pt idx="236">
                  <c:v>46010</c:v>
                </c:pt>
                <c:pt idx="237">
                  <c:v>46011</c:v>
                </c:pt>
                <c:pt idx="238">
                  <c:v>46014</c:v>
                </c:pt>
                <c:pt idx="239">
                  <c:v>46015</c:v>
                </c:pt>
                <c:pt idx="240">
                  <c:v>46016</c:v>
                </c:pt>
                <c:pt idx="241">
                  <c:v>46017</c:v>
                </c:pt>
                <c:pt idx="242">
                  <c:v>46018</c:v>
                </c:pt>
                <c:pt idx="243">
                  <c:v>46021</c:v>
                </c:pt>
                <c:pt idx="244">
                  <c:v>46022</c:v>
                </c:pt>
                <c:pt idx="245">
                  <c:v>46023</c:v>
                </c:pt>
                <c:pt idx="246">
                  <c:v>46024</c:v>
                </c:pt>
                <c:pt idx="247">
                  <c:v>46025</c:v>
                </c:pt>
                <c:pt idx="248">
                  <c:v>46028</c:v>
                </c:pt>
                <c:pt idx="249">
                  <c:v>46029</c:v>
                </c:pt>
                <c:pt idx="250">
                  <c:v>46030</c:v>
                </c:pt>
                <c:pt idx="251">
                  <c:v>46031</c:v>
                </c:pt>
                <c:pt idx="252">
                  <c:v>46032</c:v>
                </c:pt>
                <c:pt idx="253">
                  <c:v>46035</c:v>
                </c:pt>
                <c:pt idx="254">
                  <c:v>46036</c:v>
                </c:pt>
                <c:pt idx="255">
                  <c:v>46037</c:v>
                </c:pt>
                <c:pt idx="256">
                  <c:v>46038</c:v>
                </c:pt>
                <c:pt idx="257">
                  <c:v>46039</c:v>
                </c:pt>
                <c:pt idx="258">
                  <c:v>46042</c:v>
                </c:pt>
                <c:pt idx="259">
                  <c:v>46043</c:v>
                </c:pt>
                <c:pt idx="260">
                  <c:v>46044</c:v>
                </c:pt>
                <c:pt idx="261">
                  <c:v>46045</c:v>
                </c:pt>
                <c:pt idx="262">
                  <c:v>46046</c:v>
                </c:pt>
                <c:pt idx="263">
                  <c:v>46049</c:v>
                </c:pt>
                <c:pt idx="264">
                  <c:v>46050</c:v>
                </c:pt>
                <c:pt idx="265">
                  <c:v>46051</c:v>
                </c:pt>
                <c:pt idx="266">
                  <c:v>46052</c:v>
                </c:pt>
                <c:pt idx="267">
                  <c:v>46053</c:v>
                </c:pt>
                <c:pt idx="268">
                  <c:v>46056</c:v>
                </c:pt>
                <c:pt idx="269">
                  <c:v>46057</c:v>
                </c:pt>
                <c:pt idx="270">
                  <c:v>46058</c:v>
                </c:pt>
                <c:pt idx="271">
                  <c:v>46059</c:v>
                </c:pt>
                <c:pt idx="272">
                  <c:v>46060</c:v>
                </c:pt>
                <c:pt idx="273">
                  <c:v>46063</c:v>
                </c:pt>
                <c:pt idx="274">
                  <c:v>46064</c:v>
                </c:pt>
                <c:pt idx="275">
                  <c:v>46065</c:v>
                </c:pt>
                <c:pt idx="276">
                  <c:v>46066</c:v>
                </c:pt>
                <c:pt idx="277">
                  <c:v>46067</c:v>
                </c:pt>
              </c:numCache>
            </c:numRef>
          </c:cat>
          <c:val>
            <c:numRef>
              <c:f>Raw_data!$F$2:$F$279</c:f>
              <c:numCache>
                <c:formatCode>#,##0.00</c:formatCode>
                <c:ptCount val="278"/>
                <c:pt idx="0">
                  <c:v>100000</c:v>
                </c:pt>
                <c:pt idx="1">
                  <c:v>100072</c:v>
                </c:pt>
                <c:pt idx="2">
                  <c:v>100072</c:v>
                </c:pt>
                <c:pt idx="3">
                  <c:v>95637.87</c:v>
                </c:pt>
                <c:pt idx="4">
                  <c:v>95637.87</c:v>
                </c:pt>
                <c:pt idx="5">
                  <c:v>95637.87</c:v>
                </c:pt>
                <c:pt idx="6">
                  <c:v>95637.87</c:v>
                </c:pt>
                <c:pt idx="7">
                  <c:v>95637.87</c:v>
                </c:pt>
                <c:pt idx="8">
                  <c:v>95637.87</c:v>
                </c:pt>
                <c:pt idx="9">
                  <c:v>95637.87</c:v>
                </c:pt>
                <c:pt idx="10">
                  <c:v>95637.87</c:v>
                </c:pt>
                <c:pt idx="11">
                  <c:v>95637.87</c:v>
                </c:pt>
                <c:pt idx="12">
                  <c:v>95637.87</c:v>
                </c:pt>
                <c:pt idx="13">
                  <c:v>95637.87</c:v>
                </c:pt>
                <c:pt idx="14">
                  <c:v>95637.87</c:v>
                </c:pt>
                <c:pt idx="15">
                  <c:v>95637.87</c:v>
                </c:pt>
                <c:pt idx="16">
                  <c:v>95637.87</c:v>
                </c:pt>
                <c:pt idx="17">
                  <c:v>95637.87</c:v>
                </c:pt>
                <c:pt idx="18">
                  <c:v>95637.87</c:v>
                </c:pt>
                <c:pt idx="19">
                  <c:v>95637.87</c:v>
                </c:pt>
                <c:pt idx="20">
                  <c:v>95637.87</c:v>
                </c:pt>
                <c:pt idx="21">
                  <c:v>95637.87</c:v>
                </c:pt>
                <c:pt idx="22">
                  <c:v>95637.87</c:v>
                </c:pt>
                <c:pt idx="23">
                  <c:v>95637.87</c:v>
                </c:pt>
                <c:pt idx="24">
                  <c:v>95637.87</c:v>
                </c:pt>
                <c:pt idx="25">
                  <c:v>95637.87</c:v>
                </c:pt>
                <c:pt idx="26">
                  <c:v>95637.87</c:v>
                </c:pt>
                <c:pt idx="27">
                  <c:v>95637.87</c:v>
                </c:pt>
                <c:pt idx="28">
                  <c:v>95637.87</c:v>
                </c:pt>
                <c:pt idx="29">
                  <c:v>95637.87</c:v>
                </c:pt>
                <c:pt idx="30">
                  <c:v>95637.87</c:v>
                </c:pt>
                <c:pt idx="31">
                  <c:v>95637.87</c:v>
                </c:pt>
                <c:pt idx="32">
                  <c:v>95637.87</c:v>
                </c:pt>
                <c:pt idx="33">
                  <c:v>95637.87</c:v>
                </c:pt>
                <c:pt idx="34">
                  <c:v>95637.87</c:v>
                </c:pt>
                <c:pt idx="35">
                  <c:v>95637.87</c:v>
                </c:pt>
                <c:pt idx="36">
                  <c:v>95637.87</c:v>
                </c:pt>
                <c:pt idx="37">
                  <c:v>95637.87</c:v>
                </c:pt>
                <c:pt idx="38">
                  <c:v>95637.87</c:v>
                </c:pt>
                <c:pt idx="39">
                  <c:v>95637.87</c:v>
                </c:pt>
                <c:pt idx="40">
                  <c:v>95637.87</c:v>
                </c:pt>
                <c:pt idx="41">
                  <c:v>95637.87</c:v>
                </c:pt>
                <c:pt idx="42">
                  <c:v>95637.87</c:v>
                </c:pt>
                <c:pt idx="43">
                  <c:v>95637.87</c:v>
                </c:pt>
                <c:pt idx="44">
                  <c:v>95637.87</c:v>
                </c:pt>
                <c:pt idx="45">
                  <c:v>95637.87</c:v>
                </c:pt>
                <c:pt idx="46">
                  <c:v>95637.87</c:v>
                </c:pt>
                <c:pt idx="47">
                  <c:v>95637.87</c:v>
                </c:pt>
                <c:pt idx="48">
                  <c:v>83943.66</c:v>
                </c:pt>
                <c:pt idx="49">
                  <c:v>83943.66</c:v>
                </c:pt>
                <c:pt idx="50">
                  <c:v>83943.66</c:v>
                </c:pt>
                <c:pt idx="51">
                  <c:v>83943.66</c:v>
                </c:pt>
                <c:pt idx="52">
                  <c:v>83943.66</c:v>
                </c:pt>
                <c:pt idx="53">
                  <c:v>71637.94</c:v>
                </c:pt>
                <c:pt idx="54">
                  <c:v>71637.94</c:v>
                </c:pt>
                <c:pt idx="55">
                  <c:v>71637.94</c:v>
                </c:pt>
                <c:pt idx="56">
                  <c:v>71637.94</c:v>
                </c:pt>
                <c:pt idx="57">
                  <c:v>71637.94</c:v>
                </c:pt>
                <c:pt idx="58">
                  <c:v>71637.94</c:v>
                </c:pt>
                <c:pt idx="59">
                  <c:v>71637.94</c:v>
                </c:pt>
                <c:pt idx="60">
                  <c:v>71637.94</c:v>
                </c:pt>
                <c:pt idx="61">
                  <c:v>71637.94</c:v>
                </c:pt>
                <c:pt idx="62">
                  <c:v>71637.94</c:v>
                </c:pt>
                <c:pt idx="63">
                  <c:v>71637.94</c:v>
                </c:pt>
                <c:pt idx="64">
                  <c:v>71637.94</c:v>
                </c:pt>
                <c:pt idx="65">
                  <c:v>71637.94</c:v>
                </c:pt>
                <c:pt idx="66">
                  <c:v>71637.94</c:v>
                </c:pt>
                <c:pt idx="67">
                  <c:v>71637.94</c:v>
                </c:pt>
                <c:pt idx="68">
                  <c:v>71637.94</c:v>
                </c:pt>
                <c:pt idx="69">
                  <c:v>71637.94</c:v>
                </c:pt>
                <c:pt idx="70">
                  <c:v>71637.94</c:v>
                </c:pt>
                <c:pt idx="71">
                  <c:v>71637.94</c:v>
                </c:pt>
                <c:pt idx="72">
                  <c:v>71637.94</c:v>
                </c:pt>
                <c:pt idx="73">
                  <c:v>71637.94</c:v>
                </c:pt>
                <c:pt idx="74">
                  <c:v>71637.94</c:v>
                </c:pt>
                <c:pt idx="75">
                  <c:v>71637.94</c:v>
                </c:pt>
                <c:pt idx="76">
                  <c:v>71637.94</c:v>
                </c:pt>
                <c:pt idx="77">
                  <c:v>71637.94</c:v>
                </c:pt>
                <c:pt idx="78">
                  <c:v>92769.27</c:v>
                </c:pt>
                <c:pt idx="79">
                  <c:v>95905.68</c:v>
                </c:pt>
                <c:pt idx="80">
                  <c:v>97766.9</c:v>
                </c:pt>
                <c:pt idx="81">
                  <c:v>97669.38</c:v>
                </c:pt>
                <c:pt idx="82">
                  <c:v>98406.97</c:v>
                </c:pt>
                <c:pt idx="83">
                  <c:v>97358.07</c:v>
                </c:pt>
                <c:pt idx="84">
                  <c:v>97719.38</c:v>
                </c:pt>
                <c:pt idx="85">
                  <c:v>95796.92</c:v>
                </c:pt>
                <c:pt idx="86">
                  <c:v>96394.68</c:v>
                </c:pt>
                <c:pt idx="87">
                  <c:v>95982.02</c:v>
                </c:pt>
                <c:pt idx="88">
                  <c:v>95935.02</c:v>
                </c:pt>
                <c:pt idx="89">
                  <c:v>98038.32</c:v>
                </c:pt>
                <c:pt idx="90">
                  <c:v>97118.95</c:v>
                </c:pt>
                <c:pt idx="91">
                  <c:v>98937</c:v>
                </c:pt>
                <c:pt idx="92">
                  <c:v>96991.28</c:v>
                </c:pt>
                <c:pt idx="93">
                  <c:v>97342.28</c:v>
                </c:pt>
                <c:pt idx="94">
                  <c:v>97882.61</c:v>
                </c:pt>
                <c:pt idx="95">
                  <c:v>96245.92</c:v>
                </c:pt>
                <c:pt idx="96">
                  <c:v>90865.7</c:v>
                </c:pt>
                <c:pt idx="97">
                  <c:v>92714.58</c:v>
                </c:pt>
                <c:pt idx="98">
                  <c:v>95431.35</c:v>
                </c:pt>
                <c:pt idx="99">
                  <c:v>96803.83</c:v>
                </c:pt>
                <c:pt idx="100">
                  <c:v>96554.98</c:v>
                </c:pt>
                <c:pt idx="101">
                  <c:v>94098.41</c:v>
                </c:pt>
                <c:pt idx="102">
                  <c:v>93731.67</c:v>
                </c:pt>
                <c:pt idx="103">
                  <c:v>94713.65</c:v>
                </c:pt>
                <c:pt idx="104">
                  <c:v>92741.61</c:v>
                </c:pt>
                <c:pt idx="105">
                  <c:v>92945.33</c:v>
                </c:pt>
                <c:pt idx="106">
                  <c:v>92945.33</c:v>
                </c:pt>
                <c:pt idx="107">
                  <c:v>92806.32</c:v>
                </c:pt>
                <c:pt idx="108">
                  <c:v>95834.16</c:v>
                </c:pt>
                <c:pt idx="109">
                  <c:v>95480.59</c:v>
                </c:pt>
                <c:pt idx="110">
                  <c:v>93822.15</c:v>
                </c:pt>
                <c:pt idx="111">
                  <c:v>94642.41</c:v>
                </c:pt>
                <c:pt idx="112">
                  <c:v>96799.52</c:v>
                </c:pt>
                <c:pt idx="113">
                  <c:v>95310.44</c:v>
                </c:pt>
                <c:pt idx="114">
                  <c:v>93487.22</c:v>
                </c:pt>
                <c:pt idx="115">
                  <c:v>95319.94</c:v>
                </c:pt>
                <c:pt idx="116">
                  <c:v>96392.13</c:v>
                </c:pt>
                <c:pt idx="117">
                  <c:v>96392.13</c:v>
                </c:pt>
                <c:pt idx="118">
                  <c:v>94625.41</c:v>
                </c:pt>
                <c:pt idx="119">
                  <c:v>95553.27</c:v>
                </c:pt>
                <c:pt idx="120">
                  <c:v>97167.7</c:v>
                </c:pt>
                <c:pt idx="121">
                  <c:v>98559.86</c:v>
                </c:pt>
                <c:pt idx="122">
                  <c:v>99134.24</c:v>
                </c:pt>
                <c:pt idx="123">
                  <c:v>99888.85</c:v>
                </c:pt>
                <c:pt idx="124">
                  <c:v>99132.64</c:v>
                </c:pt>
                <c:pt idx="125">
                  <c:v>100464.67</c:v>
                </c:pt>
                <c:pt idx="126">
                  <c:v>100700.34</c:v>
                </c:pt>
                <c:pt idx="127">
                  <c:v>101332.66</c:v>
                </c:pt>
                <c:pt idx="128">
                  <c:v>101176.2</c:v>
                </c:pt>
                <c:pt idx="129">
                  <c:v>101428.8</c:v>
                </c:pt>
                <c:pt idx="130">
                  <c:v>103199.7</c:v>
                </c:pt>
                <c:pt idx="131">
                  <c:v>99752.82</c:v>
                </c:pt>
                <c:pt idx="132">
                  <c:v>101260.3</c:v>
                </c:pt>
                <c:pt idx="133">
                  <c:v>102812.64</c:v>
                </c:pt>
                <c:pt idx="134">
                  <c:v>99739.46</c:v>
                </c:pt>
                <c:pt idx="135">
                  <c:v>99663.679999999993</c:v>
                </c:pt>
                <c:pt idx="136">
                  <c:v>97275.48</c:v>
                </c:pt>
                <c:pt idx="137">
                  <c:v>96452.98</c:v>
                </c:pt>
                <c:pt idx="138">
                  <c:v>96489.24</c:v>
                </c:pt>
                <c:pt idx="139">
                  <c:v>97077.56</c:v>
                </c:pt>
                <c:pt idx="140">
                  <c:v>97429.48</c:v>
                </c:pt>
                <c:pt idx="141">
                  <c:v>98124.28</c:v>
                </c:pt>
                <c:pt idx="142">
                  <c:v>99382.34</c:v>
                </c:pt>
                <c:pt idx="143">
                  <c:v>99948.99</c:v>
                </c:pt>
                <c:pt idx="144">
                  <c:v>101913.56</c:v>
                </c:pt>
                <c:pt idx="145">
                  <c:v>102881.16</c:v>
                </c:pt>
                <c:pt idx="146">
                  <c:v>102728.88</c:v>
                </c:pt>
                <c:pt idx="147">
                  <c:v>102669.14</c:v>
                </c:pt>
                <c:pt idx="148">
                  <c:v>102603.16</c:v>
                </c:pt>
                <c:pt idx="149">
                  <c:v>100278.92</c:v>
                </c:pt>
                <c:pt idx="150">
                  <c:v>99679.64</c:v>
                </c:pt>
                <c:pt idx="151">
                  <c:v>100031</c:v>
                </c:pt>
                <c:pt idx="152">
                  <c:v>103621.72</c:v>
                </c:pt>
                <c:pt idx="153">
                  <c:v>103602.96</c:v>
                </c:pt>
                <c:pt idx="154">
                  <c:v>106213.78</c:v>
                </c:pt>
                <c:pt idx="155">
                  <c:v>106243.94</c:v>
                </c:pt>
                <c:pt idx="156">
                  <c:v>106270.48</c:v>
                </c:pt>
                <c:pt idx="157">
                  <c:v>104375.1</c:v>
                </c:pt>
                <c:pt idx="158">
                  <c:v>104328.1</c:v>
                </c:pt>
                <c:pt idx="159">
                  <c:v>103832.3</c:v>
                </c:pt>
                <c:pt idx="160">
                  <c:v>103006.38</c:v>
                </c:pt>
                <c:pt idx="161">
                  <c:v>103193.36</c:v>
                </c:pt>
                <c:pt idx="162">
                  <c:v>103751.78</c:v>
                </c:pt>
                <c:pt idx="163">
                  <c:v>103167.26</c:v>
                </c:pt>
                <c:pt idx="164">
                  <c:v>102918.16</c:v>
                </c:pt>
                <c:pt idx="165">
                  <c:v>103124.3</c:v>
                </c:pt>
                <c:pt idx="166">
                  <c:v>103734.68</c:v>
                </c:pt>
                <c:pt idx="167">
                  <c:v>105365.78</c:v>
                </c:pt>
                <c:pt idx="168">
                  <c:v>106669.34</c:v>
                </c:pt>
                <c:pt idx="169">
                  <c:v>107455</c:v>
                </c:pt>
                <c:pt idx="170">
                  <c:v>107130.37</c:v>
                </c:pt>
                <c:pt idx="171">
                  <c:v>106681.67</c:v>
                </c:pt>
                <c:pt idx="172">
                  <c:v>107707.73</c:v>
                </c:pt>
                <c:pt idx="173">
                  <c:v>108184.81</c:v>
                </c:pt>
                <c:pt idx="174">
                  <c:v>108001.35</c:v>
                </c:pt>
                <c:pt idx="175">
                  <c:v>109390.93</c:v>
                </c:pt>
                <c:pt idx="176">
                  <c:v>107067.87</c:v>
                </c:pt>
                <c:pt idx="177">
                  <c:v>110659.37</c:v>
                </c:pt>
                <c:pt idx="178">
                  <c:v>110396.69</c:v>
                </c:pt>
                <c:pt idx="179">
                  <c:v>110650.75</c:v>
                </c:pt>
                <c:pt idx="180">
                  <c:v>111742.59</c:v>
                </c:pt>
                <c:pt idx="181">
                  <c:v>109799.19</c:v>
                </c:pt>
                <c:pt idx="182">
                  <c:v>109018.65</c:v>
                </c:pt>
                <c:pt idx="183">
                  <c:v>112017.99</c:v>
                </c:pt>
                <c:pt idx="184">
                  <c:v>110504.19</c:v>
                </c:pt>
                <c:pt idx="185">
                  <c:v>111776.63</c:v>
                </c:pt>
                <c:pt idx="186">
                  <c:v>109468.95</c:v>
                </c:pt>
                <c:pt idx="187">
                  <c:v>104668.82</c:v>
                </c:pt>
                <c:pt idx="188">
                  <c:v>107568.37</c:v>
                </c:pt>
                <c:pt idx="189">
                  <c:v>106075.04</c:v>
                </c:pt>
                <c:pt idx="190">
                  <c:v>107395.1</c:v>
                </c:pt>
                <c:pt idx="191">
                  <c:v>105608.39</c:v>
                </c:pt>
                <c:pt idx="192">
                  <c:v>106280.06</c:v>
                </c:pt>
                <c:pt idx="193">
                  <c:v>108196.59</c:v>
                </c:pt>
                <c:pt idx="194">
                  <c:v>107074.26</c:v>
                </c:pt>
                <c:pt idx="195">
                  <c:v>107255.28</c:v>
                </c:pt>
                <c:pt idx="196">
                  <c:v>108961.47</c:v>
                </c:pt>
                <c:pt idx="197">
                  <c:v>108695.4</c:v>
                </c:pt>
                <c:pt idx="198">
                  <c:v>111029.94</c:v>
                </c:pt>
                <c:pt idx="199">
                  <c:v>111737.89</c:v>
                </c:pt>
                <c:pt idx="200">
                  <c:v>109547.2</c:v>
                </c:pt>
                <c:pt idx="201">
                  <c:v>106293.41</c:v>
                </c:pt>
                <c:pt idx="202">
                  <c:v>109043.09</c:v>
                </c:pt>
                <c:pt idx="203">
                  <c:v>112836.08</c:v>
                </c:pt>
                <c:pt idx="204">
                  <c:v>109838.49</c:v>
                </c:pt>
                <c:pt idx="205">
                  <c:v>112410.18</c:v>
                </c:pt>
                <c:pt idx="206">
                  <c:v>110910.01</c:v>
                </c:pt>
                <c:pt idx="207">
                  <c:v>107573.87</c:v>
                </c:pt>
                <c:pt idx="208">
                  <c:v>105327.06</c:v>
                </c:pt>
                <c:pt idx="209">
                  <c:v>104667.11</c:v>
                </c:pt>
                <c:pt idx="210">
                  <c:v>104621.6</c:v>
                </c:pt>
                <c:pt idx="211">
                  <c:v>106857.19</c:v>
                </c:pt>
                <c:pt idx="212">
                  <c:v>105034.65</c:v>
                </c:pt>
                <c:pt idx="213">
                  <c:v>104812.72</c:v>
                </c:pt>
                <c:pt idx="214">
                  <c:v>105538.63</c:v>
                </c:pt>
                <c:pt idx="215">
                  <c:v>103239.46</c:v>
                </c:pt>
                <c:pt idx="216">
                  <c:v>101197.25</c:v>
                </c:pt>
                <c:pt idx="217">
                  <c:v>100718.82</c:v>
                </c:pt>
                <c:pt idx="218">
                  <c:v>100824.04</c:v>
                </c:pt>
                <c:pt idx="219">
                  <c:v>101432.48</c:v>
                </c:pt>
                <c:pt idx="220">
                  <c:v>103016.3</c:v>
                </c:pt>
                <c:pt idx="221">
                  <c:v>103016.3</c:v>
                </c:pt>
                <c:pt idx="222">
                  <c:v>103731.86</c:v>
                </c:pt>
                <c:pt idx="223">
                  <c:v>102693.64</c:v>
                </c:pt>
                <c:pt idx="224">
                  <c:v>106330.04</c:v>
                </c:pt>
                <c:pt idx="225">
                  <c:v>105469.14</c:v>
                </c:pt>
                <c:pt idx="226">
                  <c:v>105715.3</c:v>
                </c:pt>
                <c:pt idx="227">
                  <c:v>105927.02</c:v>
                </c:pt>
                <c:pt idx="228">
                  <c:v>106189.8</c:v>
                </c:pt>
                <c:pt idx="229">
                  <c:v>103948.5</c:v>
                </c:pt>
                <c:pt idx="230">
                  <c:v>103504.6</c:v>
                </c:pt>
                <c:pt idx="231">
                  <c:v>104970.64</c:v>
                </c:pt>
                <c:pt idx="232">
                  <c:v>106367.38</c:v>
                </c:pt>
                <c:pt idx="233">
                  <c:v>107223.2</c:v>
                </c:pt>
                <c:pt idx="234">
                  <c:v>107022.12</c:v>
                </c:pt>
                <c:pt idx="235">
                  <c:v>107465.88</c:v>
                </c:pt>
                <c:pt idx="236">
                  <c:v>107763.42</c:v>
                </c:pt>
                <c:pt idx="237">
                  <c:v>108149.8</c:v>
                </c:pt>
                <c:pt idx="238">
                  <c:v>109398.14</c:v>
                </c:pt>
                <c:pt idx="239">
                  <c:v>109471.96</c:v>
                </c:pt>
                <c:pt idx="240">
                  <c:v>109978.22</c:v>
                </c:pt>
                <c:pt idx="241">
                  <c:v>109978.22</c:v>
                </c:pt>
                <c:pt idx="242">
                  <c:v>109286.34</c:v>
                </c:pt>
                <c:pt idx="243">
                  <c:v>109690.34</c:v>
                </c:pt>
                <c:pt idx="244">
                  <c:v>110075.86</c:v>
                </c:pt>
                <c:pt idx="245">
                  <c:v>109329.84</c:v>
                </c:pt>
                <c:pt idx="246">
                  <c:v>109329.84</c:v>
                </c:pt>
                <c:pt idx="247">
                  <c:v>110724.04</c:v>
                </c:pt>
                <c:pt idx="248">
                  <c:v>110736.08</c:v>
                </c:pt>
                <c:pt idx="249">
                  <c:v>111073.34</c:v>
                </c:pt>
                <c:pt idx="250">
                  <c:v>110437.48</c:v>
                </c:pt>
                <c:pt idx="251">
                  <c:v>110604.38</c:v>
                </c:pt>
                <c:pt idx="252">
                  <c:v>111793.84</c:v>
                </c:pt>
                <c:pt idx="253">
                  <c:v>112768.18</c:v>
                </c:pt>
                <c:pt idx="254">
                  <c:v>114052.32</c:v>
                </c:pt>
                <c:pt idx="255">
                  <c:v>113387.44</c:v>
                </c:pt>
                <c:pt idx="256">
                  <c:v>114422.38</c:v>
                </c:pt>
                <c:pt idx="257">
                  <c:v>114086.02</c:v>
                </c:pt>
                <c:pt idx="258">
                  <c:v>114086.02</c:v>
                </c:pt>
                <c:pt idx="259">
                  <c:v>113554.02</c:v>
                </c:pt>
                <c:pt idx="260">
                  <c:v>113679.6</c:v>
                </c:pt>
                <c:pt idx="261">
                  <c:v>113714.62</c:v>
                </c:pt>
                <c:pt idx="262">
                  <c:v>113634.18</c:v>
                </c:pt>
                <c:pt idx="263">
                  <c:v>113250.48</c:v>
                </c:pt>
                <c:pt idx="264">
                  <c:v>111277.18</c:v>
                </c:pt>
                <c:pt idx="265">
                  <c:v>110261.12</c:v>
                </c:pt>
                <c:pt idx="266">
                  <c:v>109523.12</c:v>
                </c:pt>
                <c:pt idx="267">
                  <c:v>109944.2</c:v>
                </c:pt>
                <c:pt idx="268">
                  <c:v>110349.52</c:v>
                </c:pt>
                <c:pt idx="269">
                  <c:v>111215.42</c:v>
                </c:pt>
                <c:pt idx="270">
                  <c:v>113043.3</c:v>
                </c:pt>
                <c:pt idx="271">
                  <c:v>113363.52</c:v>
                </c:pt>
                <c:pt idx="272">
                  <c:v>115269.72</c:v>
                </c:pt>
                <c:pt idx="273">
                  <c:v>114409</c:v>
                </c:pt>
                <c:pt idx="274">
                  <c:v>114541.84</c:v>
                </c:pt>
                <c:pt idx="275">
                  <c:v>112986.18</c:v>
                </c:pt>
                <c:pt idx="276">
                  <c:v>112875.86</c:v>
                </c:pt>
                <c:pt idx="277">
                  <c:v>113820.14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44-46BB-82A9-C8B5E4576D5A}"/>
            </c:ext>
          </c:extLst>
        </c:ser>
        <c:ser>
          <c:idx val="1"/>
          <c:order val="1"/>
          <c:tx>
            <c:v>Cash ($)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Raw_data!$B$2:$B$279</c:f>
              <c:numCache>
                <c:formatCode>#,##0.00</c:formatCode>
                <c:ptCount val="278"/>
                <c:pt idx="0">
                  <c:v>100000</c:v>
                </c:pt>
                <c:pt idx="1">
                  <c:v>99944</c:v>
                </c:pt>
                <c:pt idx="2">
                  <c:v>99944</c:v>
                </c:pt>
                <c:pt idx="3">
                  <c:v>2868.22</c:v>
                </c:pt>
                <c:pt idx="4">
                  <c:v>2868.22</c:v>
                </c:pt>
                <c:pt idx="5">
                  <c:v>2868.22</c:v>
                </c:pt>
                <c:pt idx="6">
                  <c:v>2868.22</c:v>
                </c:pt>
                <c:pt idx="7">
                  <c:v>2868.22</c:v>
                </c:pt>
                <c:pt idx="8">
                  <c:v>2868.22</c:v>
                </c:pt>
                <c:pt idx="9">
                  <c:v>2868.22</c:v>
                </c:pt>
                <c:pt idx="10">
                  <c:v>2868.22</c:v>
                </c:pt>
                <c:pt idx="11">
                  <c:v>2868.22</c:v>
                </c:pt>
                <c:pt idx="12">
                  <c:v>2868.22</c:v>
                </c:pt>
                <c:pt idx="13">
                  <c:v>2868.22</c:v>
                </c:pt>
                <c:pt idx="14">
                  <c:v>2868.22</c:v>
                </c:pt>
                <c:pt idx="15">
                  <c:v>2868.22</c:v>
                </c:pt>
                <c:pt idx="16">
                  <c:v>2868.22</c:v>
                </c:pt>
                <c:pt idx="17">
                  <c:v>2868.22</c:v>
                </c:pt>
                <c:pt idx="18">
                  <c:v>2868.22</c:v>
                </c:pt>
                <c:pt idx="19">
                  <c:v>2868.22</c:v>
                </c:pt>
                <c:pt idx="20">
                  <c:v>2868.22</c:v>
                </c:pt>
                <c:pt idx="21">
                  <c:v>2868.22</c:v>
                </c:pt>
                <c:pt idx="22">
                  <c:v>2868.22</c:v>
                </c:pt>
                <c:pt idx="23">
                  <c:v>2868.22</c:v>
                </c:pt>
                <c:pt idx="24">
                  <c:v>2868.22</c:v>
                </c:pt>
                <c:pt idx="25">
                  <c:v>2868.22</c:v>
                </c:pt>
                <c:pt idx="26">
                  <c:v>2868.22</c:v>
                </c:pt>
                <c:pt idx="27">
                  <c:v>2868.22</c:v>
                </c:pt>
                <c:pt idx="28">
                  <c:v>2868.22</c:v>
                </c:pt>
                <c:pt idx="29">
                  <c:v>2868.22</c:v>
                </c:pt>
                <c:pt idx="30">
                  <c:v>2868.22</c:v>
                </c:pt>
                <c:pt idx="31">
                  <c:v>2868.22</c:v>
                </c:pt>
                <c:pt idx="32">
                  <c:v>2868.22</c:v>
                </c:pt>
                <c:pt idx="33">
                  <c:v>2868.22</c:v>
                </c:pt>
                <c:pt idx="34">
                  <c:v>2868.22</c:v>
                </c:pt>
                <c:pt idx="35">
                  <c:v>2868.22</c:v>
                </c:pt>
                <c:pt idx="36">
                  <c:v>2868.22</c:v>
                </c:pt>
                <c:pt idx="37">
                  <c:v>2868.22</c:v>
                </c:pt>
                <c:pt idx="38">
                  <c:v>2868.22</c:v>
                </c:pt>
                <c:pt idx="39">
                  <c:v>2868.22</c:v>
                </c:pt>
                <c:pt idx="40">
                  <c:v>2868.22</c:v>
                </c:pt>
                <c:pt idx="41">
                  <c:v>2868.22</c:v>
                </c:pt>
                <c:pt idx="42">
                  <c:v>2868.22</c:v>
                </c:pt>
                <c:pt idx="43">
                  <c:v>2868.22</c:v>
                </c:pt>
                <c:pt idx="44">
                  <c:v>2868.22</c:v>
                </c:pt>
                <c:pt idx="45">
                  <c:v>2868.22</c:v>
                </c:pt>
                <c:pt idx="46">
                  <c:v>2868.22</c:v>
                </c:pt>
                <c:pt idx="47">
                  <c:v>2868.22</c:v>
                </c:pt>
                <c:pt idx="48">
                  <c:v>2875.82</c:v>
                </c:pt>
                <c:pt idx="49">
                  <c:v>2875.82</c:v>
                </c:pt>
                <c:pt idx="50">
                  <c:v>2875.82</c:v>
                </c:pt>
                <c:pt idx="51">
                  <c:v>2875.82</c:v>
                </c:pt>
                <c:pt idx="52">
                  <c:v>2875.82</c:v>
                </c:pt>
                <c:pt idx="53">
                  <c:v>2828.82</c:v>
                </c:pt>
                <c:pt idx="54">
                  <c:v>2828.82</c:v>
                </c:pt>
                <c:pt idx="55">
                  <c:v>2828.82</c:v>
                </c:pt>
                <c:pt idx="56">
                  <c:v>2828.82</c:v>
                </c:pt>
                <c:pt idx="57">
                  <c:v>2828.82</c:v>
                </c:pt>
                <c:pt idx="58">
                  <c:v>2828.82</c:v>
                </c:pt>
                <c:pt idx="59">
                  <c:v>2828.82</c:v>
                </c:pt>
                <c:pt idx="60">
                  <c:v>2828.82</c:v>
                </c:pt>
                <c:pt idx="61">
                  <c:v>2828.82</c:v>
                </c:pt>
                <c:pt idx="62">
                  <c:v>2828.82</c:v>
                </c:pt>
                <c:pt idx="63">
                  <c:v>2828.82</c:v>
                </c:pt>
                <c:pt idx="64">
                  <c:v>2828.82</c:v>
                </c:pt>
                <c:pt idx="65">
                  <c:v>2828.82</c:v>
                </c:pt>
                <c:pt idx="66">
                  <c:v>2828.82</c:v>
                </c:pt>
                <c:pt idx="67">
                  <c:v>2828.82</c:v>
                </c:pt>
                <c:pt idx="68">
                  <c:v>2828.82</c:v>
                </c:pt>
                <c:pt idx="69">
                  <c:v>2828.82</c:v>
                </c:pt>
                <c:pt idx="70">
                  <c:v>2828.82</c:v>
                </c:pt>
                <c:pt idx="71">
                  <c:v>2828.82</c:v>
                </c:pt>
                <c:pt idx="72">
                  <c:v>2828.82</c:v>
                </c:pt>
                <c:pt idx="73">
                  <c:v>2828.82</c:v>
                </c:pt>
                <c:pt idx="74">
                  <c:v>2828.82</c:v>
                </c:pt>
                <c:pt idx="75">
                  <c:v>2828.82</c:v>
                </c:pt>
                <c:pt idx="76">
                  <c:v>2828.82</c:v>
                </c:pt>
                <c:pt idx="77">
                  <c:v>2828.82</c:v>
                </c:pt>
                <c:pt idx="78">
                  <c:v>2828.82</c:v>
                </c:pt>
                <c:pt idx="79">
                  <c:v>2828.82</c:v>
                </c:pt>
                <c:pt idx="80">
                  <c:v>2828.82</c:v>
                </c:pt>
                <c:pt idx="81">
                  <c:v>2828.82</c:v>
                </c:pt>
                <c:pt idx="82">
                  <c:v>2828.82</c:v>
                </c:pt>
                <c:pt idx="83">
                  <c:v>2828.82</c:v>
                </c:pt>
                <c:pt idx="84">
                  <c:v>2828.82</c:v>
                </c:pt>
                <c:pt idx="85">
                  <c:v>2828.82</c:v>
                </c:pt>
                <c:pt idx="86">
                  <c:v>2828.82</c:v>
                </c:pt>
                <c:pt idx="87">
                  <c:v>2828.82</c:v>
                </c:pt>
                <c:pt idx="88">
                  <c:v>2781.82</c:v>
                </c:pt>
                <c:pt idx="89">
                  <c:v>2781.82</c:v>
                </c:pt>
                <c:pt idx="90">
                  <c:v>2781.82</c:v>
                </c:pt>
                <c:pt idx="91">
                  <c:v>2781.82</c:v>
                </c:pt>
                <c:pt idx="92">
                  <c:v>2781.82</c:v>
                </c:pt>
                <c:pt idx="93">
                  <c:v>2781.82</c:v>
                </c:pt>
                <c:pt idx="94">
                  <c:v>2781.82</c:v>
                </c:pt>
                <c:pt idx="95">
                  <c:v>2781.82</c:v>
                </c:pt>
                <c:pt idx="96">
                  <c:v>2781.82</c:v>
                </c:pt>
                <c:pt idx="97">
                  <c:v>2781.82</c:v>
                </c:pt>
                <c:pt idx="98">
                  <c:v>2781.82</c:v>
                </c:pt>
                <c:pt idx="99">
                  <c:v>2781.82</c:v>
                </c:pt>
                <c:pt idx="100">
                  <c:v>2781.82</c:v>
                </c:pt>
                <c:pt idx="101">
                  <c:v>2781.82</c:v>
                </c:pt>
                <c:pt idx="102">
                  <c:v>2781.82</c:v>
                </c:pt>
                <c:pt idx="103">
                  <c:v>2781.82</c:v>
                </c:pt>
                <c:pt idx="104">
                  <c:v>2781.82</c:v>
                </c:pt>
                <c:pt idx="105">
                  <c:v>2781.82</c:v>
                </c:pt>
                <c:pt idx="106">
                  <c:v>2781.82</c:v>
                </c:pt>
                <c:pt idx="107">
                  <c:v>2781.82</c:v>
                </c:pt>
                <c:pt idx="108">
                  <c:v>2781.82</c:v>
                </c:pt>
                <c:pt idx="109">
                  <c:v>2781.82</c:v>
                </c:pt>
                <c:pt idx="110">
                  <c:v>2781.82</c:v>
                </c:pt>
                <c:pt idx="111">
                  <c:v>2781.82</c:v>
                </c:pt>
                <c:pt idx="112">
                  <c:v>2781.82</c:v>
                </c:pt>
                <c:pt idx="113">
                  <c:v>2789.42</c:v>
                </c:pt>
                <c:pt idx="114">
                  <c:v>2789.42</c:v>
                </c:pt>
                <c:pt idx="115">
                  <c:v>2789.94</c:v>
                </c:pt>
                <c:pt idx="116">
                  <c:v>2789.94</c:v>
                </c:pt>
                <c:pt idx="117">
                  <c:v>2789.94</c:v>
                </c:pt>
                <c:pt idx="118">
                  <c:v>2789.94</c:v>
                </c:pt>
                <c:pt idx="119">
                  <c:v>2789.94</c:v>
                </c:pt>
                <c:pt idx="120">
                  <c:v>2789.94</c:v>
                </c:pt>
                <c:pt idx="121">
                  <c:v>2789.94</c:v>
                </c:pt>
                <c:pt idx="122">
                  <c:v>2789.94</c:v>
                </c:pt>
                <c:pt idx="123">
                  <c:v>2789.94</c:v>
                </c:pt>
                <c:pt idx="124">
                  <c:v>2789.94</c:v>
                </c:pt>
                <c:pt idx="125">
                  <c:v>2789.94</c:v>
                </c:pt>
                <c:pt idx="126">
                  <c:v>2789.94</c:v>
                </c:pt>
                <c:pt idx="127">
                  <c:v>2789.94</c:v>
                </c:pt>
                <c:pt idx="128">
                  <c:v>2789.94</c:v>
                </c:pt>
                <c:pt idx="129">
                  <c:v>2789.94</c:v>
                </c:pt>
                <c:pt idx="130">
                  <c:v>2789.94</c:v>
                </c:pt>
                <c:pt idx="131">
                  <c:v>2789.94</c:v>
                </c:pt>
                <c:pt idx="132">
                  <c:v>2789.94</c:v>
                </c:pt>
                <c:pt idx="133">
                  <c:v>2789.94</c:v>
                </c:pt>
                <c:pt idx="134">
                  <c:v>2789.94</c:v>
                </c:pt>
                <c:pt idx="135">
                  <c:v>2789.94</c:v>
                </c:pt>
                <c:pt idx="136">
                  <c:v>2789.94</c:v>
                </c:pt>
                <c:pt idx="137">
                  <c:v>2789.94</c:v>
                </c:pt>
                <c:pt idx="138">
                  <c:v>2789.94</c:v>
                </c:pt>
                <c:pt idx="139">
                  <c:v>2789.94</c:v>
                </c:pt>
                <c:pt idx="140">
                  <c:v>2789.94</c:v>
                </c:pt>
                <c:pt idx="141">
                  <c:v>2789.94</c:v>
                </c:pt>
                <c:pt idx="142">
                  <c:v>2789.94</c:v>
                </c:pt>
                <c:pt idx="143">
                  <c:v>2789.94</c:v>
                </c:pt>
                <c:pt idx="144">
                  <c:v>2789.94</c:v>
                </c:pt>
                <c:pt idx="145">
                  <c:v>2789.94</c:v>
                </c:pt>
                <c:pt idx="146">
                  <c:v>2789.94</c:v>
                </c:pt>
                <c:pt idx="147">
                  <c:v>2789.94</c:v>
                </c:pt>
                <c:pt idx="148">
                  <c:v>2789.94</c:v>
                </c:pt>
                <c:pt idx="149">
                  <c:v>2789.94</c:v>
                </c:pt>
                <c:pt idx="150">
                  <c:v>2789.94</c:v>
                </c:pt>
                <c:pt idx="151">
                  <c:v>2789.94</c:v>
                </c:pt>
                <c:pt idx="152">
                  <c:v>2789.94</c:v>
                </c:pt>
                <c:pt idx="153">
                  <c:v>2789.94</c:v>
                </c:pt>
                <c:pt idx="154">
                  <c:v>2789.94</c:v>
                </c:pt>
                <c:pt idx="155">
                  <c:v>2789.94</c:v>
                </c:pt>
                <c:pt idx="156">
                  <c:v>2789.94</c:v>
                </c:pt>
                <c:pt idx="157">
                  <c:v>2789.94</c:v>
                </c:pt>
                <c:pt idx="158">
                  <c:v>2742.94</c:v>
                </c:pt>
                <c:pt idx="159">
                  <c:v>2742.94</c:v>
                </c:pt>
                <c:pt idx="160">
                  <c:v>2742.94</c:v>
                </c:pt>
                <c:pt idx="161">
                  <c:v>2742.94</c:v>
                </c:pt>
                <c:pt idx="162">
                  <c:v>2742.94</c:v>
                </c:pt>
                <c:pt idx="163">
                  <c:v>2742.94</c:v>
                </c:pt>
                <c:pt idx="164">
                  <c:v>2742.94</c:v>
                </c:pt>
                <c:pt idx="165">
                  <c:v>2742.94</c:v>
                </c:pt>
                <c:pt idx="166">
                  <c:v>2742.94</c:v>
                </c:pt>
                <c:pt idx="167">
                  <c:v>2742.94</c:v>
                </c:pt>
                <c:pt idx="168">
                  <c:v>2742.94</c:v>
                </c:pt>
                <c:pt idx="169">
                  <c:v>2742.94</c:v>
                </c:pt>
                <c:pt idx="170">
                  <c:v>-15880.81</c:v>
                </c:pt>
                <c:pt idx="171">
                  <c:v>-15880.81</c:v>
                </c:pt>
                <c:pt idx="172">
                  <c:v>-15880.81</c:v>
                </c:pt>
                <c:pt idx="173">
                  <c:v>-15880.81</c:v>
                </c:pt>
                <c:pt idx="174">
                  <c:v>-15880.81</c:v>
                </c:pt>
                <c:pt idx="175">
                  <c:v>-15880.81</c:v>
                </c:pt>
                <c:pt idx="176">
                  <c:v>-15880.81</c:v>
                </c:pt>
                <c:pt idx="177">
                  <c:v>-15880.81</c:v>
                </c:pt>
                <c:pt idx="178">
                  <c:v>-15865.61</c:v>
                </c:pt>
                <c:pt idx="179">
                  <c:v>-15865.61</c:v>
                </c:pt>
                <c:pt idx="180">
                  <c:v>-15865.09</c:v>
                </c:pt>
                <c:pt idx="181">
                  <c:v>-15865.09</c:v>
                </c:pt>
                <c:pt idx="182">
                  <c:v>-15865.09</c:v>
                </c:pt>
                <c:pt idx="183">
                  <c:v>-15865.09</c:v>
                </c:pt>
                <c:pt idx="184">
                  <c:v>-15865.09</c:v>
                </c:pt>
                <c:pt idx="185">
                  <c:v>-15865.09</c:v>
                </c:pt>
                <c:pt idx="186">
                  <c:v>-15865.09</c:v>
                </c:pt>
                <c:pt idx="187">
                  <c:v>-60722.97</c:v>
                </c:pt>
                <c:pt idx="188">
                  <c:v>-60722.97</c:v>
                </c:pt>
                <c:pt idx="189">
                  <c:v>-60722.97</c:v>
                </c:pt>
                <c:pt idx="190">
                  <c:v>-60722.97</c:v>
                </c:pt>
                <c:pt idx="191">
                  <c:v>-60722.97</c:v>
                </c:pt>
                <c:pt idx="192">
                  <c:v>-60722.97</c:v>
                </c:pt>
                <c:pt idx="193">
                  <c:v>-60722.97</c:v>
                </c:pt>
                <c:pt idx="194">
                  <c:v>-60722.97</c:v>
                </c:pt>
                <c:pt idx="195">
                  <c:v>-60722.97</c:v>
                </c:pt>
                <c:pt idx="196">
                  <c:v>-60722.97</c:v>
                </c:pt>
                <c:pt idx="197">
                  <c:v>-60722.97</c:v>
                </c:pt>
                <c:pt idx="198">
                  <c:v>-60722.97</c:v>
                </c:pt>
                <c:pt idx="199">
                  <c:v>-60722.97</c:v>
                </c:pt>
                <c:pt idx="200">
                  <c:v>-60722.97</c:v>
                </c:pt>
                <c:pt idx="201">
                  <c:v>-60722.97</c:v>
                </c:pt>
                <c:pt idx="202">
                  <c:v>-60722.97</c:v>
                </c:pt>
                <c:pt idx="203">
                  <c:v>-60722.97</c:v>
                </c:pt>
                <c:pt idx="204">
                  <c:v>-60722.97</c:v>
                </c:pt>
                <c:pt idx="205">
                  <c:v>-60722.97</c:v>
                </c:pt>
                <c:pt idx="206">
                  <c:v>-60722.97</c:v>
                </c:pt>
                <c:pt idx="207">
                  <c:v>41604.17</c:v>
                </c:pt>
                <c:pt idx="208">
                  <c:v>41604.17</c:v>
                </c:pt>
                <c:pt idx="209">
                  <c:v>41604.17</c:v>
                </c:pt>
                <c:pt idx="210">
                  <c:v>41604.17</c:v>
                </c:pt>
                <c:pt idx="211">
                  <c:v>41604.17</c:v>
                </c:pt>
                <c:pt idx="212">
                  <c:v>41604.17</c:v>
                </c:pt>
                <c:pt idx="213">
                  <c:v>41604.17</c:v>
                </c:pt>
                <c:pt idx="214">
                  <c:v>41604.17</c:v>
                </c:pt>
                <c:pt idx="215">
                  <c:v>41604.17</c:v>
                </c:pt>
                <c:pt idx="216">
                  <c:v>41604.17</c:v>
                </c:pt>
                <c:pt idx="217">
                  <c:v>41604.17</c:v>
                </c:pt>
                <c:pt idx="218">
                  <c:v>41604.17</c:v>
                </c:pt>
                <c:pt idx="219" formatCode="General">
                  <c:v>-49.06</c:v>
                </c:pt>
                <c:pt idx="220" formatCode="General">
                  <c:v>-49.06</c:v>
                </c:pt>
                <c:pt idx="221" formatCode="General">
                  <c:v>-49.06</c:v>
                </c:pt>
                <c:pt idx="222" formatCode="General">
                  <c:v>-49.06</c:v>
                </c:pt>
                <c:pt idx="223" formatCode="General">
                  <c:v>-49.06</c:v>
                </c:pt>
                <c:pt idx="224" formatCode="General">
                  <c:v>-49.06</c:v>
                </c:pt>
                <c:pt idx="225" formatCode="General">
                  <c:v>-49.06</c:v>
                </c:pt>
                <c:pt idx="226" formatCode="General">
                  <c:v>-49.06</c:v>
                </c:pt>
                <c:pt idx="227" formatCode="General">
                  <c:v>-49.06</c:v>
                </c:pt>
                <c:pt idx="228" formatCode="General">
                  <c:v>-49.06</c:v>
                </c:pt>
                <c:pt idx="229" formatCode="General">
                  <c:v>-49.06</c:v>
                </c:pt>
                <c:pt idx="230" formatCode="General">
                  <c:v>-49.06</c:v>
                </c:pt>
                <c:pt idx="231" formatCode="General">
                  <c:v>-49.06</c:v>
                </c:pt>
                <c:pt idx="232" formatCode="General">
                  <c:v>-49.06</c:v>
                </c:pt>
                <c:pt idx="233" formatCode="General">
                  <c:v>-49.06</c:v>
                </c:pt>
                <c:pt idx="234" formatCode="General">
                  <c:v>-49.06</c:v>
                </c:pt>
                <c:pt idx="235" formatCode="General">
                  <c:v>-49.06</c:v>
                </c:pt>
                <c:pt idx="236" formatCode="General">
                  <c:v>-49.06</c:v>
                </c:pt>
                <c:pt idx="237" formatCode="General">
                  <c:v>-49.06</c:v>
                </c:pt>
                <c:pt idx="238" formatCode="General">
                  <c:v>-49.06</c:v>
                </c:pt>
                <c:pt idx="239" formatCode="General">
                  <c:v>-49.06</c:v>
                </c:pt>
                <c:pt idx="240" formatCode="General">
                  <c:v>-49.06</c:v>
                </c:pt>
                <c:pt idx="241" formatCode="General">
                  <c:v>-49.06</c:v>
                </c:pt>
                <c:pt idx="242" formatCode="General">
                  <c:v>-49.06</c:v>
                </c:pt>
                <c:pt idx="243" formatCode="General">
                  <c:v>5.54</c:v>
                </c:pt>
                <c:pt idx="244" formatCode="General">
                  <c:v>5.54</c:v>
                </c:pt>
                <c:pt idx="245" formatCode="General">
                  <c:v>5.54</c:v>
                </c:pt>
                <c:pt idx="246" formatCode="General">
                  <c:v>5.54</c:v>
                </c:pt>
                <c:pt idx="247" formatCode="General">
                  <c:v>5.54</c:v>
                </c:pt>
                <c:pt idx="248" formatCode="General">
                  <c:v>5.54</c:v>
                </c:pt>
                <c:pt idx="249" formatCode="General">
                  <c:v>5.54</c:v>
                </c:pt>
                <c:pt idx="250" formatCode="General">
                  <c:v>5.54</c:v>
                </c:pt>
                <c:pt idx="251" formatCode="General">
                  <c:v>5.54</c:v>
                </c:pt>
                <c:pt idx="252" formatCode="General">
                  <c:v>5.54</c:v>
                </c:pt>
                <c:pt idx="253" formatCode="General">
                  <c:v>5.54</c:v>
                </c:pt>
                <c:pt idx="254" formatCode="General">
                  <c:v>5.54</c:v>
                </c:pt>
                <c:pt idx="255" formatCode="General">
                  <c:v>5.54</c:v>
                </c:pt>
                <c:pt idx="256" formatCode="General">
                  <c:v>5.54</c:v>
                </c:pt>
                <c:pt idx="257" formatCode="General">
                  <c:v>5.54</c:v>
                </c:pt>
                <c:pt idx="258" formatCode="General">
                  <c:v>5.54</c:v>
                </c:pt>
                <c:pt idx="259" formatCode="General">
                  <c:v>5.54</c:v>
                </c:pt>
                <c:pt idx="260" formatCode="General">
                  <c:v>5.54</c:v>
                </c:pt>
                <c:pt idx="261" formatCode="General">
                  <c:v>5.54</c:v>
                </c:pt>
                <c:pt idx="262" formatCode="General">
                  <c:v>5.54</c:v>
                </c:pt>
                <c:pt idx="263" formatCode="General">
                  <c:v>5.54</c:v>
                </c:pt>
                <c:pt idx="264" formatCode="General">
                  <c:v>5.54</c:v>
                </c:pt>
                <c:pt idx="265" formatCode="General">
                  <c:v>5.54</c:v>
                </c:pt>
                <c:pt idx="266" formatCode="General">
                  <c:v>5.54</c:v>
                </c:pt>
                <c:pt idx="267" formatCode="General">
                  <c:v>5.54</c:v>
                </c:pt>
                <c:pt idx="268" formatCode="General">
                  <c:v>5.54</c:v>
                </c:pt>
                <c:pt idx="269" formatCode="General">
                  <c:v>5.54</c:v>
                </c:pt>
                <c:pt idx="270" formatCode="General">
                  <c:v>5.54</c:v>
                </c:pt>
                <c:pt idx="271" formatCode="General">
                  <c:v>5.54</c:v>
                </c:pt>
                <c:pt idx="272" formatCode="General">
                  <c:v>5.54</c:v>
                </c:pt>
                <c:pt idx="273" formatCode="General">
                  <c:v>5.54</c:v>
                </c:pt>
                <c:pt idx="274" formatCode="General">
                  <c:v>5.54</c:v>
                </c:pt>
                <c:pt idx="275" formatCode="General">
                  <c:v>5.54</c:v>
                </c:pt>
                <c:pt idx="276" formatCode="General">
                  <c:v>5.54</c:v>
                </c:pt>
                <c:pt idx="277" formatCode="General">
                  <c:v>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44-46BB-82A9-C8B5E4576D5A}"/>
            </c:ext>
          </c:extLst>
        </c:ser>
        <c:ser>
          <c:idx val="2"/>
          <c:order val="2"/>
          <c:tx>
            <c:v>Stock ($)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Raw_data!$C$2:$C$279</c:f>
              <c:numCache>
                <c:formatCode>#,##0.00</c:formatCode>
                <c:ptCount val="278"/>
                <c:pt idx="0" formatCode="General">
                  <c:v>0</c:v>
                </c:pt>
                <c:pt idx="1">
                  <c:v>35472</c:v>
                </c:pt>
                <c:pt idx="2">
                  <c:v>35472</c:v>
                </c:pt>
                <c:pt idx="3">
                  <c:v>111671.65</c:v>
                </c:pt>
                <c:pt idx="4">
                  <c:v>111671.65</c:v>
                </c:pt>
                <c:pt idx="5">
                  <c:v>111671.65</c:v>
                </c:pt>
                <c:pt idx="6">
                  <c:v>111671.65</c:v>
                </c:pt>
                <c:pt idx="7">
                  <c:v>111671.65</c:v>
                </c:pt>
                <c:pt idx="8">
                  <c:v>111671.65</c:v>
                </c:pt>
                <c:pt idx="9">
                  <c:v>111671.65</c:v>
                </c:pt>
                <c:pt idx="10">
                  <c:v>111671.65</c:v>
                </c:pt>
                <c:pt idx="11">
                  <c:v>111671.65</c:v>
                </c:pt>
                <c:pt idx="12">
                  <c:v>111671.65</c:v>
                </c:pt>
                <c:pt idx="13">
                  <c:v>111671.65</c:v>
                </c:pt>
                <c:pt idx="14">
                  <c:v>111671.65</c:v>
                </c:pt>
                <c:pt idx="15">
                  <c:v>111671.65</c:v>
                </c:pt>
                <c:pt idx="16">
                  <c:v>111671.65</c:v>
                </c:pt>
                <c:pt idx="17">
                  <c:v>111671.65</c:v>
                </c:pt>
                <c:pt idx="18">
                  <c:v>111671.65</c:v>
                </c:pt>
                <c:pt idx="19">
                  <c:v>111671.65</c:v>
                </c:pt>
                <c:pt idx="20">
                  <c:v>111671.65</c:v>
                </c:pt>
                <c:pt idx="21">
                  <c:v>111671.65</c:v>
                </c:pt>
                <c:pt idx="22">
                  <c:v>111671.65</c:v>
                </c:pt>
                <c:pt idx="23">
                  <c:v>111671.65</c:v>
                </c:pt>
                <c:pt idx="24">
                  <c:v>111671.65</c:v>
                </c:pt>
                <c:pt idx="25">
                  <c:v>111671.65</c:v>
                </c:pt>
                <c:pt idx="26">
                  <c:v>111671.65</c:v>
                </c:pt>
                <c:pt idx="27">
                  <c:v>111671.65</c:v>
                </c:pt>
                <c:pt idx="28">
                  <c:v>111671.65</c:v>
                </c:pt>
                <c:pt idx="29">
                  <c:v>111671.65</c:v>
                </c:pt>
                <c:pt idx="30">
                  <c:v>111671.65</c:v>
                </c:pt>
                <c:pt idx="31">
                  <c:v>111671.65</c:v>
                </c:pt>
                <c:pt idx="32">
                  <c:v>111671.65</c:v>
                </c:pt>
                <c:pt idx="33">
                  <c:v>111671.65</c:v>
                </c:pt>
                <c:pt idx="34">
                  <c:v>111671.65</c:v>
                </c:pt>
                <c:pt idx="35">
                  <c:v>111671.65</c:v>
                </c:pt>
                <c:pt idx="36">
                  <c:v>111671.65</c:v>
                </c:pt>
                <c:pt idx="37">
                  <c:v>111671.65</c:v>
                </c:pt>
                <c:pt idx="38">
                  <c:v>111671.65</c:v>
                </c:pt>
                <c:pt idx="39">
                  <c:v>111671.65</c:v>
                </c:pt>
                <c:pt idx="40">
                  <c:v>111671.65</c:v>
                </c:pt>
                <c:pt idx="41">
                  <c:v>111671.65</c:v>
                </c:pt>
                <c:pt idx="42">
                  <c:v>111671.65</c:v>
                </c:pt>
                <c:pt idx="43">
                  <c:v>111671.65</c:v>
                </c:pt>
                <c:pt idx="44">
                  <c:v>111671.65</c:v>
                </c:pt>
                <c:pt idx="45">
                  <c:v>111671.65</c:v>
                </c:pt>
                <c:pt idx="46">
                  <c:v>111671.65</c:v>
                </c:pt>
                <c:pt idx="47">
                  <c:v>111671.65</c:v>
                </c:pt>
                <c:pt idx="48">
                  <c:v>98816.84</c:v>
                </c:pt>
                <c:pt idx="49">
                  <c:v>98816.84</c:v>
                </c:pt>
                <c:pt idx="50">
                  <c:v>98816.84</c:v>
                </c:pt>
                <c:pt idx="51">
                  <c:v>98816.84</c:v>
                </c:pt>
                <c:pt idx="52">
                  <c:v>98816.84</c:v>
                </c:pt>
                <c:pt idx="53">
                  <c:v>86167.72</c:v>
                </c:pt>
                <c:pt idx="54">
                  <c:v>86167.72</c:v>
                </c:pt>
                <c:pt idx="55">
                  <c:v>86167.72</c:v>
                </c:pt>
                <c:pt idx="56">
                  <c:v>86167.72</c:v>
                </c:pt>
                <c:pt idx="57">
                  <c:v>86167.72</c:v>
                </c:pt>
                <c:pt idx="58">
                  <c:v>86167.72</c:v>
                </c:pt>
                <c:pt idx="59">
                  <c:v>86167.72</c:v>
                </c:pt>
                <c:pt idx="60">
                  <c:v>86167.72</c:v>
                </c:pt>
                <c:pt idx="61">
                  <c:v>86167.72</c:v>
                </c:pt>
                <c:pt idx="62">
                  <c:v>86167.72</c:v>
                </c:pt>
                <c:pt idx="63">
                  <c:v>86167.72</c:v>
                </c:pt>
                <c:pt idx="64">
                  <c:v>86167.72</c:v>
                </c:pt>
                <c:pt idx="65">
                  <c:v>86167.72</c:v>
                </c:pt>
                <c:pt idx="66">
                  <c:v>86167.72</c:v>
                </c:pt>
                <c:pt idx="67">
                  <c:v>86167.72</c:v>
                </c:pt>
                <c:pt idx="68">
                  <c:v>86167.72</c:v>
                </c:pt>
                <c:pt idx="69">
                  <c:v>86167.72</c:v>
                </c:pt>
                <c:pt idx="70">
                  <c:v>86167.72</c:v>
                </c:pt>
                <c:pt idx="71">
                  <c:v>86167.72</c:v>
                </c:pt>
                <c:pt idx="72">
                  <c:v>86167.72</c:v>
                </c:pt>
                <c:pt idx="73">
                  <c:v>86167.72</c:v>
                </c:pt>
                <c:pt idx="74">
                  <c:v>86167.72</c:v>
                </c:pt>
                <c:pt idx="75">
                  <c:v>86167.72</c:v>
                </c:pt>
                <c:pt idx="76">
                  <c:v>86167.72</c:v>
                </c:pt>
                <c:pt idx="77">
                  <c:v>86167.72</c:v>
                </c:pt>
                <c:pt idx="78">
                  <c:v>110012.25</c:v>
                </c:pt>
                <c:pt idx="79">
                  <c:v>112974.46</c:v>
                </c:pt>
                <c:pt idx="80">
                  <c:v>114322.88</c:v>
                </c:pt>
                <c:pt idx="81">
                  <c:v>114129.36</c:v>
                </c:pt>
                <c:pt idx="82">
                  <c:v>115244.55</c:v>
                </c:pt>
                <c:pt idx="83">
                  <c:v>114171.54</c:v>
                </c:pt>
                <c:pt idx="84">
                  <c:v>114468.96</c:v>
                </c:pt>
                <c:pt idx="85">
                  <c:v>112272.5</c:v>
                </c:pt>
                <c:pt idx="86">
                  <c:v>112770.26</c:v>
                </c:pt>
                <c:pt idx="87">
                  <c:v>112439.48</c:v>
                </c:pt>
                <c:pt idx="88">
                  <c:v>112439.48</c:v>
                </c:pt>
                <c:pt idx="89">
                  <c:v>114790.7</c:v>
                </c:pt>
                <c:pt idx="90">
                  <c:v>113802.82</c:v>
                </c:pt>
                <c:pt idx="91">
                  <c:v>115593.18</c:v>
                </c:pt>
                <c:pt idx="92">
                  <c:v>113971.06</c:v>
                </c:pt>
                <c:pt idx="93">
                  <c:v>114532.26</c:v>
                </c:pt>
                <c:pt idx="94">
                  <c:v>115114.09</c:v>
                </c:pt>
                <c:pt idx="95">
                  <c:v>113351.74</c:v>
                </c:pt>
                <c:pt idx="96">
                  <c:v>107691.88</c:v>
                </c:pt>
                <c:pt idx="97">
                  <c:v>109443.74</c:v>
                </c:pt>
                <c:pt idx="98">
                  <c:v>112157.36</c:v>
                </c:pt>
                <c:pt idx="99">
                  <c:v>113502.92</c:v>
                </c:pt>
                <c:pt idx="100">
                  <c:v>112950.06</c:v>
                </c:pt>
                <c:pt idx="101">
                  <c:v>110299.05</c:v>
                </c:pt>
                <c:pt idx="102">
                  <c:v>109854.54</c:v>
                </c:pt>
                <c:pt idx="103">
                  <c:v>110806.03</c:v>
                </c:pt>
                <c:pt idx="104">
                  <c:v>108826.39</c:v>
                </c:pt>
                <c:pt idx="105">
                  <c:v>109197.91</c:v>
                </c:pt>
                <c:pt idx="106">
                  <c:v>109197.91</c:v>
                </c:pt>
                <c:pt idx="107">
                  <c:v>109264.9</c:v>
                </c:pt>
                <c:pt idx="108">
                  <c:v>112641.94</c:v>
                </c:pt>
                <c:pt idx="109">
                  <c:v>112314.35</c:v>
                </c:pt>
                <c:pt idx="110">
                  <c:v>110507.62</c:v>
                </c:pt>
                <c:pt idx="111">
                  <c:v>111079.99</c:v>
                </c:pt>
                <c:pt idx="112">
                  <c:v>113487.5</c:v>
                </c:pt>
                <c:pt idx="113">
                  <c:v>112092.43</c:v>
                </c:pt>
                <c:pt idx="114">
                  <c:v>110361.8</c:v>
                </c:pt>
                <c:pt idx="115">
                  <c:v>112068.4</c:v>
                </c:pt>
                <c:pt idx="116">
                  <c:v>113290.98</c:v>
                </c:pt>
                <c:pt idx="117">
                  <c:v>113290.98</c:v>
                </c:pt>
                <c:pt idx="118">
                  <c:v>111722.28</c:v>
                </c:pt>
                <c:pt idx="119">
                  <c:v>112197.9</c:v>
                </c:pt>
                <c:pt idx="120">
                  <c:v>113756.76</c:v>
                </c:pt>
                <c:pt idx="121">
                  <c:v>114759</c:v>
                </c:pt>
                <c:pt idx="122">
                  <c:v>115241.84</c:v>
                </c:pt>
                <c:pt idx="123">
                  <c:v>116272.74</c:v>
                </c:pt>
                <c:pt idx="124">
                  <c:v>115438.7</c:v>
                </c:pt>
                <c:pt idx="125">
                  <c:v>116721.84</c:v>
                </c:pt>
                <c:pt idx="126">
                  <c:v>116945</c:v>
                </c:pt>
                <c:pt idx="127">
                  <c:v>117569.12</c:v>
                </c:pt>
                <c:pt idx="128">
                  <c:v>117543.26</c:v>
                </c:pt>
                <c:pt idx="129">
                  <c:v>117829.86</c:v>
                </c:pt>
                <c:pt idx="130">
                  <c:v>119565.75999999999</c:v>
                </c:pt>
                <c:pt idx="131">
                  <c:v>116304.48</c:v>
                </c:pt>
                <c:pt idx="132">
                  <c:v>117984.5</c:v>
                </c:pt>
                <c:pt idx="133">
                  <c:v>119567.3</c:v>
                </c:pt>
                <c:pt idx="134">
                  <c:v>116641.02</c:v>
                </c:pt>
                <c:pt idx="135">
                  <c:v>116425.74</c:v>
                </c:pt>
                <c:pt idx="136">
                  <c:v>114125.94</c:v>
                </c:pt>
                <c:pt idx="137">
                  <c:v>113382.64</c:v>
                </c:pt>
                <c:pt idx="138">
                  <c:v>113646.7</c:v>
                </c:pt>
                <c:pt idx="139">
                  <c:v>114178.02</c:v>
                </c:pt>
                <c:pt idx="140">
                  <c:v>115343.54</c:v>
                </c:pt>
                <c:pt idx="141">
                  <c:v>115991.34</c:v>
                </c:pt>
                <c:pt idx="142">
                  <c:v>117376.2</c:v>
                </c:pt>
                <c:pt idx="143">
                  <c:v>117981.87</c:v>
                </c:pt>
                <c:pt idx="144">
                  <c:v>119879.22</c:v>
                </c:pt>
                <c:pt idx="145">
                  <c:v>120326.78</c:v>
                </c:pt>
                <c:pt idx="146">
                  <c:v>120150.04</c:v>
                </c:pt>
                <c:pt idx="147">
                  <c:v>119918.39999999999</c:v>
                </c:pt>
                <c:pt idx="148">
                  <c:v>119993.22</c:v>
                </c:pt>
                <c:pt idx="149">
                  <c:v>117782.78</c:v>
                </c:pt>
                <c:pt idx="150">
                  <c:v>117440.5</c:v>
                </c:pt>
                <c:pt idx="151">
                  <c:v>116867.26</c:v>
                </c:pt>
                <c:pt idx="152">
                  <c:v>120235.38</c:v>
                </c:pt>
                <c:pt idx="153">
                  <c:v>120063.02</c:v>
                </c:pt>
                <c:pt idx="154">
                  <c:v>122670.24</c:v>
                </c:pt>
                <c:pt idx="155">
                  <c:v>122710.2</c:v>
                </c:pt>
                <c:pt idx="156">
                  <c:v>122747.14</c:v>
                </c:pt>
                <c:pt idx="157">
                  <c:v>121024.56</c:v>
                </c:pt>
                <c:pt idx="158">
                  <c:v>121024.56</c:v>
                </c:pt>
                <c:pt idx="159">
                  <c:v>120701.06</c:v>
                </c:pt>
                <c:pt idx="160">
                  <c:v>120195.44</c:v>
                </c:pt>
                <c:pt idx="161">
                  <c:v>120679.42</c:v>
                </c:pt>
                <c:pt idx="162">
                  <c:v>121151.54</c:v>
                </c:pt>
                <c:pt idx="163">
                  <c:v>120921.52</c:v>
                </c:pt>
                <c:pt idx="164">
                  <c:v>120675.62</c:v>
                </c:pt>
                <c:pt idx="165">
                  <c:v>120505.76</c:v>
                </c:pt>
                <c:pt idx="166">
                  <c:v>121564.14</c:v>
                </c:pt>
                <c:pt idx="167">
                  <c:v>123363.44</c:v>
                </c:pt>
                <c:pt idx="168">
                  <c:v>124707.8</c:v>
                </c:pt>
                <c:pt idx="169">
                  <c:v>125447.06</c:v>
                </c:pt>
                <c:pt idx="170">
                  <c:v>123011.18</c:v>
                </c:pt>
                <c:pt idx="171">
                  <c:v>122562.48</c:v>
                </c:pt>
                <c:pt idx="172">
                  <c:v>123588.54</c:v>
                </c:pt>
                <c:pt idx="173">
                  <c:v>124065.62</c:v>
                </c:pt>
                <c:pt idx="174">
                  <c:v>123882.16</c:v>
                </c:pt>
                <c:pt idx="175">
                  <c:v>125271.74</c:v>
                </c:pt>
                <c:pt idx="176">
                  <c:v>122948.68</c:v>
                </c:pt>
                <c:pt idx="177">
                  <c:v>126540.18</c:v>
                </c:pt>
                <c:pt idx="178">
                  <c:v>126262.3</c:v>
                </c:pt>
                <c:pt idx="179">
                  <c:v>126516.36</c:v>
                </c:pt>
                <c:pt idx="180">
                  <c:v>127607.67999999999</c:v>
                </c:pt>
                <c:pt idx="181">
                  <c:v>125664.28</c:v>
                </c:pt>
                <c:pt idx="182">
                  <c:v>124883.74</c:v>
                </c:pt>
                <c:pt idx="183">
                  <c:v>127883.08</c:v>
                </c:pt>
                <c:pt idx="184">
                  <c:v>126369.28</c:v>
                </c:pt>
                <c:pt idx="185">
                  <c:v>127641.72</c:v>
                </c:pt>
                <c:pt idx="186">
                  <c:v>125334.04</c:v>
                </c:pt>
                <c:pt idx="187">
                  <c:v>165391.79</c:v>
                </c:pt>
                <c:pt idx="188">
                  <c:v>168291.34</c:v>
                </c:pt>
                <c:pt idx="189">
                  <c:v>166798.01</c:v>
                </c:pt>
                <c:pt idx="190">
                  <c:v>168118.07</c:v>
                </c:pt>
                <c:pt idx="191">
                  <c:v>166331.35999999999</c:v>
                </c:pt>
                <c:pt idx="192">
                  <c:v>167003.03</c:v>
                </c:pt>
                <c:pt idx="193">
                  <c:v>168919.56</c:v>
                </c:pt>
                <c:pt idx="194">
                  <c:v>167797.23</c:v>
                </c:pt>
                <c:pt idx="195">
                  <c:v>167978.25</c:v>
                </c:pt>
                <c:pt idx="196">
                  <c:v>169684.44</c:v>
                </c:pt>
                <c:pt idx="197">
                  <c:v>169418.37</c:v>
                </c:pt>
                <c:pt idx="198">
                  <c:v>171752.91</c:v>
                </c:pt>
                <c:pt idx="199">
                  <c:v>172460.86</c:v>
                </c:pt>
                <c:pt idx="200">
                  <c:v>170270.17</c:v>
                </c:pt>
                <c:pt idx="201">
                  <c:v>167016.38</c:v>
                </c:pt>
                <c:pt idx="202">
                  <c:v>169766.06</c:v>
                </c:pt>
                <c:pt idx="203">
                  <c:v>173559.05</c:v>
                </c:pt>
                <c:pt idx="204">
                  <c:v>170561.46</c:v>
                </c:pt>
                <c:pt idx="205">
                  <c:v>173133.15</c:v>
                </c:pt>
                <c:pt idx="206">
                  <c:v>171632.98</c:v>
                </c:pt>
                <c:pt idx="207">
                  <c:v>108279.5</c:v>
                </c:pt>
                <c:pt idx="208">
                  <c:v>108037.45</c:v>
                </c:pt>
                <c:pt idx="209">
                  <c:v>106885.1</c:v>
                </c:pt>
                <c:pt idx="210">
                  <c:v>106541.55</c:v>
                </c:pt>
                <c:pt idx="211">
                  <c:v>107385.1</c:v>
                </c:pt>
                <c:pt idx="212">
                  <c:v>105713.8</c:v>
                </c:pt>
                <c:pt idx="213">
                  <c:v>105858.95</c:v>
                </c:pt>
                <c:pt idx="214">
                  <c:v>106007.1</c:v>
                </c:pt>
                <c:pt idx="215">
                  <c:v>104898.45</c:v>
                </c:pt>
                <c:pt idx="216">
                  <c:v>102015.4</c:v>
                </c:pt>
                <c:pt idx="217">
                  <c:v>102173.25</c:v>
                </c:pt>
                <c:pt idx="218">
                  <c:v>104226.35</c:v>
                </c:pt>
                <c:pt idx="219">
                  <c:v>101481.54</c:v>
                </c:pt>
                <c:pt idx="220">
                  <c:v>103065.36</c:v>
                </c:pt>
                <c:pt idx="221">
                  <c:v>103065.36</c:v>
                </c:pt>
                <c:pt idx="222">
                  <c:v>103780.92</c:v>
                </c:pt>
                <c:pt idx="223">
                  <c:v>102742.7</c:v>
                </c:pt>
                <c:pt idx="224">
                  <c:v>106379.1</c:v>
                </c:pt>
                <c:pt idx="225">
                  <c:v>105518.2</c:v>
                </c:pt>
                <c:pt idx="226">
                  <c:v>105764.36</c:v>
                </c:pt>
                <c:pt idx="227">
                  <c:v>105976.08</c:v>
                </c:pt>
                <c:pt idx="228">
                  <c:v>106238.86</c:v>
                </c:pt>
                <c:pt idx="229">
                  <c:v>103997.56</c:v>
                </c:pt>
                <c:pt idx="230">
                  <c:v>103553.66</c:v>
                </c:pt>
                <c:pt idx="231">
                  <c:v>105019.7</c:v>
                </c:pt>
                <c:pt idx="232">
                  <c:v>106416.44</c:v>
                </c:pt>
                <c:pt idx="233">
                  <c:v>107272.26</c:v>
                </c:pt>
                <c:pt idx="234">
                  <c:v>107071.18</c:v>
                </c:pt>
                <c:pt idx="235">
                  <c:v>107514.94</c:v>
                </c:pt>
                <c:pt idx="236">
                  <c:v>107812.48</c:v>
                </c:pt>
                <c:pt idx="237">
                  <c:v>108198.86</c:v>
                </c:pt>
                <c:pt idx="238">
                  <c:v>109447.2</c:v>
                </c:pt>
                <c:pt idx="239">
                  <c:v>109521.02</c:v>
                </c:pt>
                <c:pt idx="240">
                  <c:v>110027.28</c:v>
                </c:pt>
                <c:pt idx="241">
                  <c:v>110027.28</c:v>
                </c:pt>
                <c:pt idx="242">
                  <c:v>109335.4</c:v>
                </c:pt>
                <c:pt idx="243">
                  <c:v>109684.8</c:v>
                </c:pt>
                <c:pt idx="244">
                  <c:v>110070.32</c:v>
                </c:pt>
                <c:pt idx="245">
                  <c:v>109324.3</c:v>
                </c:pt>
                <c:pt idx="246">
                  <c:v>109324.3</c:v>
                </c:pt>
                <c:pt idx="247">
                  <c:v>110718.5</c:v>
                </c:pt>
                <c:pt idx="248">
                  <c:v>110730.54</c:v>
                </c:pt>
                <c:pt idx="249">
                  <c:v>111067.8</c:v>
                </c:pt>
                <c:pt idx="250">
                  <c:v>110431.94</c:v>
                </c:pt>
                <c:pt idx="251">
                  <c:v>110598.84</c:v>
                </c:pt>
                <c:pt idx="252">
                  <c:v>111788.3</c:v>
                </c:pt>
                <c:pt idx="253">
                  <c:v>112762.64</c:v>
                </c:pt>
                <c:pt idx="254">
                  <c:v>114046.78</c:v>
                </c:pt>
                <c:pt idx="255">
                  <c:v>113381.9</c:v>
                </c:pt>
                <c:pt idx="256">
                  <c:v>114416.84</c:v>
                </c:pt>
                <c:pt idx="257">
                  <c:v>114080.48</c:v>
                </c:pt>
                <c:pt idx="258">
                  <c:v>114080.48</c:v>
                </c:pt>
                <c:pt idx="259">
                  <c:v>113548.48</c:v>
                </c:pt>
                <c:pt idx="260">
                  <c:v>113674.06</c:v>
                </c:pt>
                <c:pt idx="261">
                  <c:v>113709.08</c:v>
                </c:pt>
                <c:pt idx="262">
                  <c:v>113628.64</c:v>
                </c:pt>
                <c:pt idx="263">
                  <c:v>113244.94</c:v>
                </c:pt>
                <c:pt idx="264">
                  <c:v>111271.64</c:v>
                </c:pt>
                <c:pt idx="265">
                  <c:v>110255.58</c:v>
                </c:pt>
                <c:pt idx="266">
                  <c:v>109517.58</c:v>
                </c:pt>
                <c:pt idx="267">
                  <c:v>109938.66</c:v>
                </c:pt>
                <c:pt idx="268">
                  <c:v>110343.98</c:v>
                </c:pt>
                <c:pt idx="269">
                  <c:v>111209.88</c:v>
                </c:pt>
                <c:pt idx="270">
                  <c:v>113037.75999999999</c:v>
                </c:pt>
                <c:pt idx="271">
                  <c:v>113357.98</c:v>
                </c:pt>
                <c:pt idx="272">
                  <c:v>115264.18</c:v>
                </c:pt>
                <c:pt idx="273">
                  <c:v>114403.46</c:v>
                </c:pt>
                <c:pt idx="274">
                  <c:v>114536.3</c:v>
                </c:pt>
                <c:pt idx="275">
                  <c:v>112980.64</c:v>
                </c:pt>
                <c:pt idx="276">
                  <c:v>112870.32</c:v>
                </c:pt>
                <c:pt idx="277">
                  <c:v>113814.6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44-46BB-82A9-C8B5E4576D5A}"/>
            </c:ext>
          </c:extLst>
        </c:ser>
        <c:ser>
          <c:idx val="3"/>
          <c:order val="3"/>
          <c:tx>
            <c:v>Option ($)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Raw_data!$D$2:$D$279</c:f>
              <c:numCache>
                <c:formatCode>General</c:formatCode>
                <c:ptCount val="2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44-46BB-82A9-C8B5E4576D5A}"/>
            </c:ext>
          </c:extLst>
        </c:ser>
        <c:ser>
          <c:idx val="4"/>
          <c:order val="4"/>
          <c:tx>
            <c:v>Short ($)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Raw_data!$E$2:$E$279</c:f>
              <c:numCache>
                <c:formatCode>#,##0.00</c:formatCode>
                <c:ptCount val="278"/>
                <c:pt idx="0" formatCode="General">
                  <c:v>0</c:v>
                </c:pt>
                <c:pt idx="1">
                  <c:v>35344</c:v>
                </c:pt>
                <c:pt idx="2">
                  <c:v>35344</c:v>
                </c:pt>
                <c:pt idx="3">
                  <c:v>18902</c:v>
                </c:pt>
                <c:pt idx="4">
                  <c:v>18902</c:v>
                </c:pt>
                <c:pt idx="5">
                  <c:v>18902</c:v>
                </c:pt>
                <c:pt idx="6">
                  <c:v>18902</c:v>
                </c:pt>
                <c:pt idx="7">
                  <c:v>18902</c:v>
                </c:pt>
                <c:pt idx="8">
                  <c:v>18902</c:v>
                </c:pt>
                <c:pt idx="9">
                  <c:v>18902</c:v>
                </c:pt>
                <c:pt idx="10">
                  <c:v>18902</c:v>
                </c:pt>
                <c:pt idx="11">
                  <c:v>18902</c:v>
                </c:pt>
                <c:pt idx="12">
                  <c:v>18902</c:v>
                </c:pt>
                <c:pt idx="13">
                  <c:v>18902</c:v>
                </c:pt>
                <c:pt idx="14">
                  <c:v>18902</c:v>
                </c:pt>
                <c:pt idx="15">
                  <c:v>18902</c:v>
                </c:pt>
                <c:pt idx="16">
                  <c:v>18902</c:v>
                </c:pt>
                <c:pt idx="17">
                  <c:v>18902</c:v>
                </c:pt>
                <c:pt idx="18">
                  <c:v>18902</c:v>
                </c:pt>
                <c:pt idx="19">
                  <c:v>18902</c:v>
                </c:pt>
                <c:pt idx="20">
                  <c:v>18902</c:v>
                </c:pt>
                <c:pt idx="21">
                  <c:v>18902</c:v>
                </c:pt>
                <c:pt idx="22">
                  <c:v>18902</c:v>
                </c:pt>
                <c:pt idx="23">
                  <c:v>18902</c:v>
                </c:pt>
                <c:pt idx="24">
                  <c:v>18902</c:v>
                </c:pt>
                <c:pt idx="25">
                  <c:v>18902</c:v>
                </c:pt>
                <c:pt idx="26">
                  <c:v>18902</c:v>
                </c:pt>
                <c:pt idx="27">
                  <c:v>18902</c:v>
                </c:pt>
                <c:pt idx="28">
                  <c:v>18902</c:v>
                </c:pt>
                <c:pt idx="29">
                  <c:v>18902</c:v>
                </c:pt>
                <c:pt idx="30">
                  <c:v>18902</c:v>
                </c:pt>
                <c:pt idx="31">
                  <c:v>18902</c:v>
                </c:pt>
                <c:pt idx="32">
                  <c:v>18902</c:v>
                </c:pt>
                <c:pt idx="33">
                  <c:v>18902</c:v>
                </c:pt>
                <c:pt idx="34">
                  <c:v>18902</c:v>
                </c:pt>
                <c:pt idx="35">
                  <c:v>18902</c:v>
                </c:pt>
                <c:pt idx="36">
                  <c:v>18902</c:v>
                </c:pt>
                <c:pt idx="37">
                  <c:v>18902</c:v>
                </c:pt>
                <c:pt idx="38">
                  <c:v>18902</c:v>
                </c:pt>
                <c:pt idx="39">
                  <c:v>18902</c:v>
                </c:pt>
                <c:pt idx="40">
                  <c:v>18902</c:v>
                </c:pt>
                <c:pt idx="41">
                  <c:v>18902</c:v>
                </c:pt>
                <c:pt idx="42">
                  <c:v>18902</c:v>
                </c:pt>
                <c:pt idx="43">
                  <c:v>18902</c:v>
                </c:pt>
                <c:pt idx="44">
                  <c:v>18902</c:v>
                </c:pt>
                <c:pt idx="45">
                  <c:v>18902</c:v>
                </c:pt>
                <c:pt idx="46">
                  <c:v>18902</c:v>
                </c:pt>
                <c:pt idx="47">
                  <c:v>18902</c:v>
                </c:pt>
                <c:pt idx="48">
                  <c:v>17749</c:v>
                </c:pt>
                <c:pt idx="49">
                  <c:v>17749</c:v>
                </c:pt>
                <c:pt idx="50">
                  <c:v>17749</c:v>
                </c:pt>
                <c:pt idx="51">
                  <c:v>17749</c:v>
                </c:pt>
                <c:pt idx="52">
                  <c:v>17749</c:v>
                </c:pt>
                <c:pt idx="53">
                  <c:v>17358.599999999999</c:v>
                </c:pt>
                <c:pt idx="54">
                  <c:v>17358.599999999999</c:v>
                </c:pt>
                <c:pt idx="55">
                  <c:v>17358.599999999999</c:v>
                </c:pt>
                <c:pt idx="56">
                  <c:v>17358.599999999999</c:v>
                </c:pt>
                <c:pt idx="57">
                  <c:v>17358.599999999999</c:v>
                </c:pt>
                <c:pt idx="58">
                  <c:v>17358.599999999999</c:v>
                </c:pt>
                <c:pt idx="59">
                  <c:v>17358.599999999999</c:v>
                </c:pt>
                <c:pt idx="60">
                  <c:v>17358.599999999999</c:v>
                </c:pt>
                <c:pt idx="61">
                  <c:v>17358.599999999999</c:v>
                </c:pt>
                <c:pt idx="62">
                  <c:v>17358.599999999999</c:v>
                </c:pt>
                <c:pt idx="63">
                  <c:v>17358.599999999999</c:v>
                </c:pt>
                <c:pt idx="64">
                  <c:v>17358.599999999999</c:v>
                </c:pt>
                <c:pt idx="65">
                  <c:v>17358.599999999999</c:v>
                </c:pt>
                <c:pt idx="66">
                  <c:v>17358.599999999999</c:v>
                </c:pt>
                <c:pt idx="67">
                  <c:v>17358.599999999999</c:v>
                </c:pt>
                <c:pt idx="68">
                  <c:v>17358.599999999999</c:v>
                </c:pt>
                <c:pt idx="69">
                  <c:v>17358.599999999999</c:v>
                </c:pt>
                <c:pt idx="70">
                  <c:v>17358.599999999999</c:v>
                </c:pt>
                <c:pt idx="71">
                  <c:v>17358.599999999999</c:v>
                </c:pt>
                <c:pt idx="72">
                  <c:v>17358.599999999999</c:v>
                </c:pt>
                <c:pt idx="73">
                  <c:v>17358.599999999999</c:v>
                </c:pt>
                <c:pt idx="74">
                  <c:v>17358.599999999999</c:v>
                </c:pt>
                <c:pt idx="75">
                  <c:v>17358.599999999999</c:v>
                </c:pt>
                <c:pt idx="76">
                  <c:v>17358.599999999999</c:v>
                </c:pt>
                <c:pt idx="77">
                  <c:v>17358.599999999999</c:v>
                </c:pt>
                <c:pt idx="78">
                  <c:v>20071.79</c:v>
                </c:pt>
                <c:pt idx="79">
                  <c:v>19897.599999999999</c:v>
                </c:pt>
                <c:pt idx="80">
                  <c:v>19384.8</c:v>
                </c:pt>
                <c:pt idx="81">
                  <c:v>19288.8</c:v>
                </c:pt>
                <c:pt idx="82">
                  <c:v>19666.400000000001</c:v>
                </c:pt>
                <c:pt idx="83">
                  <c:v>19642.29</c:v>
                </c:pt>
                <c:pt idx="84">
                  <c:v>19578.400000000001</c:v>
                </c:pt>
                <c:pt idx="85">
                  <c:v>19304.400000000001</c:v>
                </c:pt>
                <c:pt idx="86">
                  <c:v>19204.400000000001</c:v>
                </c:pt>
                <c:pt idx="87">
                  <c:v>19286.28</c:v>
                </c:pt>
                <c:pt idx="88">
                  <c:v>19286.28</c:v>
                </c:pt>
                <c:pt idx="89">
                  <c:v>19534.2</c:v>
                </c:pt>
                <c:pt idx="90">
                  <c:v>19465.689999999999</c:v>
                </c:pt>
                <c:pt idx="91">
                  <c:v>19438</c:v>
                </c:pt>
                <c:pt idx="92">
                  <c:v>19761.599999999999</c:v>
                </c:pt>
                <c:pt idx="93">
                  <c:v>19971.8</c:v>
                </c:pt>
                <c:pt idx="94">
                  <c:v>20013.3</c:v>
                </c:pt>
                <c:pt idx="95">
                  <c:v>19887.64</c:v>
                </c:pt>
                <c:pt idx="96">
                  <c:v>19608</c:v>
                </c:pt>
                <c:pt idx="97">
                  <c:v>19510.98</c:v>
                </c:pt>
                <c:pt idx="98">
                  <c:v>19507.830000000002</c:v>
                </c:pt>
                <c:pt idx="99">
                  <c:v>19480.91</c:v>
                </c:pt>
                <c:pt idx="100">
                  <c:v>19176.900000000001</c:v>
                </c:pt>
                <c:pt idx="101">
                  <c:v>18982.46</c:v>
                </c:pt>
                <c:pt idx="102">
                  <c:v>18904.689999999999</c:v>
                </c:pt>
                <c:pt idx="103">
                  <c:v>18874.2</c:v>
                </c:pt>
                <c:pt idx="104">
                  <c:v>18866.599999999999</c:v>
                </c:pt>
                <c:pt idx="105">
                  <c:v>19034.400000000001</c:v>
                </c:pt>
                <c:pt idx="106">
                  <c:v>19034.400000000001</c:v>
                </c:pt>
                <c:pt idx="107">
                  <c:v>19240.400000000001</c:v>
                </c:pt>
                <c:pt idx="108">
                  <c:v>19589.599999999999</c:v>
                </c:pt>
                <c:pt idx="109">
                  <c:v>19615.580000000002</c:v>
                </c:pt>
                <c:pt idx="110">
                  <c:v>19467.28</c:v>
                </c:pt>
                <c:pt idx="111">
                  <c:v>19219.400000000001</c:v>
                </c:pt>
                <c:pt idx="112">
                  <c:v>19469.8</c:v>
                </c:pt>
                <c:pt idx="113">
                  <c:v>19571.400000000001</c:v>
                </c:pt>
                <c:pt idx="114">
                  <c:v>19664</c:v>
                </c:pt>
                <c:pt idx="115">
                  <c:v>19538.400000000001</c:v>
                </c:pt>
                <c:pt idx="116">
                  <c:v>19688.79</c:v>
                </c:pt>
                <c:pt idx="117">
                  <c:v>19688.79</c:v>
                </c:pt>
                <c:pt idx="118">
                  <c:v>19886.8</c:v>
                </c:pt>
                <c:pt idx="119">
                  <c:v>19434.57</c:v>
                </c:pt>
                <c:pt idx="120">
                  <c:v>19379</c:v>
                </c:pt>
                <c:pt idx="121">
                  <c:v>18989.080000000002</c:v>
                </c:pt>
                <c:pt idx="122">
                  <c:v>18897.54</c:v>
                </c:pt>
                <c:pt idx="123">
                  <c:v>19173.830000000002</c:v>
                </c:pt>
                <c:pt idx="124">
                  <c:v>19096</c:v>
                </c:pt>
                <c:pt idx="125">
                  <c:v>19047.11</c:v>
                </c:pt>
                <c:pt idx="126">
                  <c:v>19034.599999999999</c:v>
                </c:pt>
                <c:pt idx="127">
                  <c:v>19026.400000000001</c:v>
                </c:pt>
                <c:pt idx="128">
                  <c:v>19157</c:v>
                </c:pt>
                <c:pt idx="129">
                  <c:v>19191</c:v>
                </c:pt>
                <c:pt idx="130">
                  <c:v>19156</c:v>
                </c:pt>
                <c:pt idx="131">
                  <c:v>19341.599999999999</c:v>
                </c:pt>
                <c:pt idx="132">
                  <c:v>19514.14</c:v>
                </c:pt>
                <c:pt idx="133">
                  <c:v>19544.599999999999</c:v>
                </c:pt>
                <c:pt idx="134">
                  <c:v>19691.490000000002</c:v>
                </c:pt>
                <c:pt idx="135">
                  <c:v>19552</c:v>
                </c:pt>
                <c:pt idx="136">
                  <c:v>19640.400000000001</c:v>
                </c:pt>
                <c:pt idx="137">
                  <c:v>19719.599999999999</c:v>
                </c:pt>
                <c:pt idx="138">
                  <c:v>19947.400000000001</c:v>
                </c:pt>
                <c:pt idx="139">
                  <c:v>19890.400000000001</c:v>
                </c:pt>
                <c:pt idx="140">
                  <c:v>20704</c:v>
                </c:pt>
                <c:pt idx="141">
                  <c:v>20657</c:v>
                </c:pt>
                <c:pt idx="142">
                  <c:v>20783.8</c:v>
                </c:pt>
                <c:pt idx="143">
                  <c:v>20822.82</c:v>
                </c:pt>
                <c:pt idx="144">
                  <c:v>20755.599999999999</c:v>
                </c:pt>
                <c:pt idx="145">
                  <c:v>20235.560000000001</c:v>
                </c:pt>
                <c:pt idx="146">
                  <c:v>20211.099999999999</c:v>
                </c:pt>
                <c:pt idx="147">
                  <c:v>20039.2</c:v>
                </c:pt>
                <c:pt idx="148">
                  <c:v>20180</c:v>
                </c:pt>
                <c:pt idx="149">
                  <c:v>20293.8</c:v>
                </c:pt>
                <c:pt idx="150">
                  <c:v>20550.8</c:v>
                </c:pt>
                <c:pt idx="151">
                  <c:v>19626.2</c:v>
                </c:pt>
                <c:pt idx="152">
                  <c:v>19403.599999999999</c:v>
                </c:pt>
                <c:pt idx="153">
                  <c:v>19250</c:v>
                </c:pt>
                <c:pt idx="154">
                  <c:v>19246.400000000001</c:v>
                </c:pt>
                <c:pt idx="155">
                  <c:v>19256.2</c:v>
                </c:pt>
                <c:pt idx="156">
                  <c:v>19266.599999999999</c:v>
                </c:pt>
                <c:pt idx="157">
                  <c:v>19439.400000000001</c:v>
                </c:pt>
                <c:pt idx="158">
                  <c:v>19439.400000000001</c:v>
                </c:pt>
                <c:pt idx="159">
                  <c:v>19611.7</c:v>
                </c:pt>
                <c:pt idx="160">
                  <c:v>19932</c:v>
                </c:pt>
                <c:pt idx="161">
                  <c:v>20229</c:v>
                </c:pt>
                <c:pt idx="162">
                  <c:v>20142.7</c:v>
                </c:pt>
                <c:pt idx="163">
                  <c:v>20497.2</c:v>
                </c:pt>
                <c:pt idx="164">
                  <c:v>20500.400000000001</c:v>
                </c:pt>
                <c:pt idx="165">
                  <c:v>20124.400000000001</c:v>
                </c:pt>
                <c:pt idx="166">
                  <c:v>20572.400000000001</c:v>
                </c:pt>
                <c:pt idx="167">
                  <c:v>20740.599999999999</c:v>
                </c:pt>
                <c:pt idx="168">
                  <c:v>20781.400000000001</c:v>
                </c:pt>
                <c:pt idx="169">
                  <c:v>20735</c:v>
                </c:pt>
                <c:pt idx="170" formatCode="General">
                  <c:v>0</c:v>
                </c:pt>
                <c:pt idx="171" formatCode="General">
                  <c:v>0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 formatCode="General">
                  <c:v>0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0</c:v>
                </c:pt>
                <c:pt idx="178" formatCode="General">
                  <c:v>0</c:v>
                </c:pt>
                <c:pt idx="179" formatCode="General">
                  <c:v>0</c:v>
                </c:pt>
                <c:pt idx="180" formatCode="General">
                  <c:v>0</c:v>
                </c:pt>
                <c:pt idx="181" formatCode="General">
                  <c:v>0</c:v>
                </c:pt>
                <c:pt idx="182" formatCode="General">
                  <c:v>0</c:v>
                </c:pt>
                <c:pt idx="183" formatCode="General">
                  <c:v>0</c:v>
                </c:pt>
                <c:pt idx="184" formatCode="General">
                  <c:v>0</c:v>
                </c:pt>
                <c:pt idx="185" formatCode="General">
                  <c:v>0</c:v>
                </c:pt>
                <c:pt idx="186" formatCode="General">
                  <c:v>0</c:v>
                </c:pt>
                <c:pt idx="187" formatCode="General">
                  <c:v>0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0</c:v>
                </c:pt>
                <c:pt idx="191" formatCode="General">
                  <c:v>0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  <c:pt idx="204" formatCode="General">
                  <c:v>0</c:v>
                </c:pt>
                <c:pt idx="205" formatCode="General">
                  <c:v>0</c:v>
                </c:pt>
                <c:pt idx="206" formatCode="General">
                  <c:v>0</c:v>
                </c:pt>
                <c:pt idx="207">
                  <c:v>42309.8</c:v>
                </c:pt>
                <c:pt idx="208">
                  <c:v>44314.559999999998</c:v>
                </c:pt>
                <c:pt idx="209">
                  <c:v>43822.16</c:v>
                </c:pt>
                <c:pt idx="210">
                  <c:v>43524.12</c:v>
                </c:pt>
                <c:pt idx="211">
                  <c:v>42132.08</c:v>
                </c:pt>
                <c:pt idx="212">
                  <c:v>42283.32</c:v>
                </c:pt>
                <c:pt idx="213">
                  <c:v>42650.400000000001</c:v>
                </c:pt>
                <c:pt idx="214">
                  <c:v>42072.639999999999</c:v>
                </c:pt>
                <c:pt idx="215">
                  <c:v>43263.16</c:v>
                </c:pt>
                <c:pt idx="216">
                  <c:v>42422.32</c:v>
                </c:pt>
                <c:pt idx="217">
                  <c:v>43058.6</c:v>
                </c:pt>
                <c:pt idx="218">
                  <c:v>45006.48</c:v>
                </c:pt>
                <c:pt idx="219" formatCode="General">
                  <c:v>0</c:v>
                </c:pt>
                <c:pt idx="220" formatCode="General">
                  <c:v>0</c:v>
                </c:pt>
                <c:pt idx="221" formatCode="General">
                  <c:v>0</c:v>
                </c:pt>
                <c:pt idx="222" formatCode="General">
                  <c:v>0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 formatCode="General">
                  <c:v>0</c:v>
                </c:pt>
                <c:pt idx="227" formatCode="General">
                  <c:v>0</c:v>
                </c:pt>
                <c:pt idx="228" formatCode="General">
                  <c:v>0</c:v>
                </c:pt>
                <c:pt idx="229" formatCode="General">
                  <c:v>0</c:v>
                </c:pt>
                <c:pt idx="230" formatCode="General">
                  <c:v>0</c:v>
                </c:pt>
                <c:pt idx="231" formatCode="General">
                  <c:v>0</c:v>
                </c:pt>
                <c:pt idx="232" formatCode="General">
                  <c:v>0</c:v>
                </c:pt>
                <c:pt idx="233" formatCode="General">
                  <c:v>0</c:v>
                </c:pt>
                <c:pt idx="234" formatCode="General">
                  <c:v>0</c:v>
                </c:pt>
                <c:pt idx="235" formatCode="General">
                  <c:v>0</c:v>
                </c:pt>
                <c:pt idx="236" formatCode="General">
                  <c:v>0</c:v>
                </c:pt>
                <c:pt idx="237" formatCode="General">
                  <c:v>0</c:v>
                </c:pt>
                <c:pt idx="238" formatCode="General">
                  <c:v>0</c:v>
                </c:pt>
                <c:pt idx="239" formatCode="General">
                  <c:v>0</c:v>
                </c:pt>
                <c:pt idx="240" formatCode="General">
                  <c:v>0</c:v>
                </c:pt>
                <c:pt idx="241" formatCode="General">
                  <c:v>0</c:v>
                </c:pt>
                <c:pt idx="242" formatCode="General">
                  <c:v>0</c:v>
                </c:pt>
                <c:pt idx="243" formatCode="General">
                  <c:v>0</c:v>
                </c:pt>
                <c:pt idx="244" formatCode="General">
                  <c:v>0</c:v>
                </c:pt>
                <c:pt idx="245" formatCode="General">
                  <c:v>0</c:v>
                </c:pt>
                <c:pt idx="246" formatCode="General">
                  <c:v>0</c:v>
                </c:pt>
                <c:pt idx="247" formatCode="General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</c:v>
                </c:pt>
                <c:pt idx="252" formatCode="General">
                  <c:v>0</c:v>
                </c:pt>
                <c:pt idx="253" formatCode="General">
                  <c:v>0</c:v>
                </c:pt>
                <c:pt idx="254" formatCode="General">
                  <c:v>0</c:v>
                </c:pt>
                <c:pt idx="255" formatCode="General">
                  <c:v>0</c:v>
                </c:pt>
                <c:pt idx="256" formatCode="General">
                  <c:v>0</c:v>
                </c:pt>
                <c:pt idx="257" formatCode="General">
                  <c:v>0</c:v>
                </c:pt>
                <c:pt idx="258" formatCode="General">
                  <c:v>0</c:v>
                </c:pt>
                <c:pt idx="259" formatCode="General">
                  <c:v>0</c:v>
                </c:pt>
                <c:pt idx="260" formatCode="General">
                  <c:v>0</c:v>
                </c:pt>
                <c:pt idx="261" formatCode="General">
                  <c:v>0</c:v>
                </c:pt>
                <c:pt idx="262" formatCode="General">
                  <c:v>0</c:v>
                </c:pt>
                <c:pt idx="263" formatCode="General">
                  <c:v>0</c:v>
                </c:pt>
                <c:pt idx="264" formatCode="General">
                  <c:v>0</c:v>
                </c:pt>
                <c:pt idx="265" formatCode="General">
                  <c:v>0</c:v>
                </c:pt>
                <c:pt idx="266" formatCode="General">
                  <c:v>0</c:v>
                </c:pt>
                <c:pt idx="267" formatCode="General">
                  <c:v>0</c:v>
                </c:pt>
                <c:pt idx="268" formatCode="General">
                  <c:v>0</c:v>
                </c:pt>
                <c:pt idx="269" formatCode="General">
                  <c:v>0</c:v>
                </c:pt>
                <c:pt idx="270" formatCode="General">
                  <c:v>0</c:v>
                </c:pt>
                <c:pt idx="271" formatCode="General">
                  <c:v>0</c:v>
                </c:pt>
                <c:pt idx="272" formatCode="General">
                  <c:v>0</c:v>
                </c:pt>
                <c:pt idx="273" formatCode="General">
                  <c:v>0</c:v>
                </c:pt>
                <c:pt idx="274" formatCode="General">
                  <c:v>0</c:v>
                </c:pt>
                <c:pt idx="275" formatCode="General">
                  <c:v>0</c:v>
                </c:pt>
                <c:pt idx="276" formatCode="General">
                  <c:v>0</c:v>
                </c:pt>
                <c:pt idx="277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44-46BB-82A9-C8B5E4576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5103984"/>
        <c:axId val="2015100624"/>
      </c:lineChart>
      <c:dateAx>
        <c:axId val="2015103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/>
                  <a:t>Date</a:t>
                </a:r>
              </a:p>
            </c:rich>
          </c:tx>
          <c:layout>
            <c:manualLayout>
              <c:xMode val="edge"/>
              <c:yMode val="edge"/>
              <c:x val="0.50616064457343302"/>
              <c:y val="0.821705602865947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100624"/>
        <c:crosses val="autoZero"/>
        <c:auto val="1"/>
        <c:lblOffset val="100"/>
        <c:baseTimeUnit val="days"/>
      </c:dateAx>
      <c:valAx>
        <c:axId val="201510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1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1288844720979939E-4"/>
          <c:y val="0.1392036481302516"/>
          <c:w val="0.12485288860628495"/>
          <c:h val="0.673385088857868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latin typeface="+mj-lt"/>
              </a:rPr>
              <a:t>Portfolio Composition – Last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A5-4CF5-B0D9-A8446CB7B0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A5-4CF5-B0D9-A8446CB7B0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A5-4CF5-B0D9-A8446CB7B0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7A5-4CF5-B0D9-A8446CB7B0EA}"/>
              </c:ext>
            </c:extLst>
          </c:dPt>
          <c:dLbls>
            <c:dLbl>
              <c:idx val="2"/>
              <c:layout>
                <c:manualLayout>
                  <c:x val="-9.3207559535391518E-2"/>
                  <c:y val="9.0236288909665494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A5-4CF5-B0D9-A8446CB7B0EA}"/>
                </c:ext>
              </c:extLst>
            </c:dLbl>
            <c:dLbl>
              <c:idx val="3"/>
              <c:layout>
                <c:manualLayout>
                  <c:x val="7.6770491322251971E-2"/>
                  <c:y val="1.00724350324141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712626762919239E-2"/>
                      <c:h val="4.344133851256785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7A5-4CF5-B0D9-A8446CB7B0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Raw_data!$B$1:$E$1</c:f>
              <c:strCache>
                <c:ptCount val="4"/>
                <c:pt idx="0">
                  <c:v>Cash ($)</c:v>
                </c:pt>
                <c:pt idx="1">
                  <c:v>Stock ($)</c:v>
                </c:pt>
                <c:pt idx="2">
                  <c:v>Option ($)</c:v>
                </c:pt>
                <c:pt idx="3">
                  <c:v>Short ($)</c:v>
                </c:pt>
              </c:strCache>
            </c:strRef>
          </c:cat>
          <c:val>
            <c:numRef>
              <c:f>Raw_data!$B$279:$E$279</c:f>
              <c:numCache>
                <c:formatCode>#,##0.00</c:formatCode>
                <c:ptCount val="4"/>
                <c:pt idx="0" formatCode="General">
                  <c:v>5.54</c:v>
                </c:pt>
                <c:pt idx="1">
                  <c:v>113814.6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A5-4CF5-B0D9-A8446CB7B0E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Daily Returns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0" i="0" u="none" strike="noStrike" baseline="0">
              <a:solidFill>
                <a:schemeClr val="tx1"/>
              </a:solidFill>
              <a:latin typeface="+mj-lt"/>
            </a:rPr>
            <a:t>Distribution of Daily Returns</a:t>
          </a:r>
        </a:p>
      </cx:txPr>
    </cx:title>
    <cx:plotArea>
      <cx:plotAreaRegion>
        <cx:series layoutId="clusteredColumn" uniqueId="{76623D2C-C24A-4548-88A6-FFB93CBB2747}">
          <cx:tx>
            <cx:txData>
              <cx:f>_xlchart.v1.0</cx:f>
              <cx:v>Daily Return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66215</xdr:colOff>
      <xdr:row>7</xdr:row>
      <xdr:rowOff>107236</xdr:rowOff>
    </xdr:from>
    <xdr:to>
      <xdr:col>14</xdr:col>
      <xdr:colOff>336659</xdr:colOff>
      <xdr:row>23</xdr:row>
      <xdr:rowOff>17860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384FE8-CF96-486E-A5E3-7D7447872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766318</xdr:colOff>
      <xdr:row>25</xdr:row>
      <xdr:rowOff>52493</xdr:rowOff>
    </xdr:from>
    <xdr:to>
      <xdr:col>6</xdr:col>
      <xdr:colOff>154826</xdr:colOff>
      <xdr:row>39</xdr:row>
      <xdr:rowOff>139590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A288BF6-46A1-41BE-8933-49F7351749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6318" y="4576868"/>
              <a:ext cx="4789183" cy="26207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497478</xdr:colOff>
      <xdr:row>25</xdr:row>
      <xdr:rowOff>19649</xdr:rowOff>
    </xdr:from>
    <xdr:to>
      <xdr:col>14</xdr:col>
      <xdr:colOff>298963</xdr:colOff>
      <xdr:row>39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AAA0A4-393D-49E0-BDD3-BC1B849F3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2F88-88ED-4E08-80C0-C3A5055834F7}">
  <dimension ref="A1:F280"/>
  <sheetViews>
    <sheetView topLeftCell="A262" zoomScale="97" zoomScaleNormal="130" workbookViewId="0">
      <selection activeCell="F279" sqref="F279"/>
    </sheetView>
  </sheetViews>
  <sheetFormatPr defaultRowHeight="14.25" x14ac:dyDescent="0.45"/>
  <cols>
    <col min="1" max="1" width="11.6640625" customWidth="1"/>
    <col min="2" max="2" width="10.3984375" customWidth="1"/>
    <col min="3" max="3" width="14.33203125" customWidth="1"/>
    <col min="4" max="4" width="10.06640625" customWidth="1"/>
    <col min="5" max="5" width="10.1328125" customWidth="1"/>
    <col min="6" max="6" width="14.3984375" customWidth="1"/>
  </cols>
  <sheetData>
    <row r="1" spans="1:6" x14ac:dyDescent="0.45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2</v>
      </c>
    </row>
    <row r="2" spans="1:6" x14ac:dyDescent="0.45">
      <c r="A2" s="2">
        <v>45653</v>
      </c>
      <c r="B2" s="4">
        <v>100000</v>
      </c>
      <c r="C2" s="3">
        <v>0</v>
      </c>
      <c r="D2" s="3">
        <v>0</v>
      </c>
      <c r="E2" s="3">
        <v>0</v>
      </c>
      <c r="F2" s="4">
        <v>100000</v>
      </c>
    </row>
    <row r="3" spans="1:6" x14ac:dyDescent="0.45">
      <c r="A3" s="2">
        <v>45657</v>
      </c>
      <c r="B3" s="4">
        <v>99944</v>
      </c>
      <c r="C3" s="4">
        <v>35472</v>
      </c>
      <c r="D3" s="3">
        <v>0</v>
      </c>
      <c r="E3" s="4">
        <v>35344</v>
      </c>
      <c r="F3" s="4">
        <v>100072</v>
      </c>
    </row>
    <row r="4" spans="1:6" x14ac:dyDescent="0.45">
      <c r="A4" s="2">
        <v>45661</v>
      </c>
      <c r="B4" s="4">
        <v>99944</v>
      </c>
      <c r="C4" s="4">
        <v>35472</v>
      </c>
      <c r="D4" s="3">
        <v>0</v>
      </c>
      <c r="E4" s="4">
        <v>35344</v>
      </c>
      <c r="F4" s="4">
        <v>100072</v>
      </c>
    </row>
    <row r="5" spans="1:6" x14ac:dyDescent="0.45">
      <c r="A5" s="2">
        <v>45668</v>
      </c>
      <c r="B5" s="4">
        <v>2868.22</v>
      </c>
      <c r="C5" s="4">
        <v>111671.65</v>
      </c>
      <c r="D5" s="3">
        <v>0</v>
      </c>
      <c r="E5" s="4">
        <v>18902</v>
      </c>
      <c r="F5" s="4">
        <v>95637.87</v>
      </c>
    </row>
    <row r="6" spans="1:6" x14ac:dyDescent="0.45">
      <c r="A6" s="2">
        <v>45673</v>
      </c>
      <c r="B6" s="4">
        <v>2868.22</v>
      </c>
      <c r="C6" s="4">
        <v>111671.65</v>
      </c>
      <c r="D6" s="3">
        <v>0</v>
      </c>
      <c r="E6" s="4">
        <v>18902</v>
      </c>
      <c r="F6" s="4">
        <v>95637.87</v>
      </c>
    </row>
    <row r="7" spans="1:6" x14ac:dyDescent="0.45">
      <c r="A7" s="2">
        <v>45679</v>
      </c>
      <c r="B7" s="4">
        <v>2868.22</v>
      </c>
      <c r="C7" s="4">
        <v>111671.65</v>
      </c>
      <c r="D7" s="3">
        <v>0</v>
      </c>
      <c r="E7" s="4">
        <v>18902</v>
      </c>
      <c r="F7" s="4">
        <v>95637.87</v>
      </c>
    </row>
    <row r="8" spans="1:6" x14ac:dyDescent="0.45">
      <c r="A8" s="2">
        <v>45681</v>
      </c>
      <c r="B8" s="4">
        <v>2868.22</v>
      </c>
      <c r="C8" s="4">
        <v>111671.65</v>
      </c>
      <c r="D8" s="3">
        <v>0</v>
      </c>
      <c r="E8" s="4">
        <v>18902</v>
      </c>
      <c r="F8" s="4">
        <v>95637.87</v>
      </c>
    </row>
    <row r="9" spans="1:6" x14ac:dyDescent="0.45">
      <c r="A9" s="2">
        <v>45686</v>
      </c>
      <c r="B9" s="4">
        <v>2868.22</v>
      </c>
      <c r="C9" s="4">
        <v>111671.65</v>
      </c>
      <c r="D9" s="3">
        <v>0</v>
      </c>
      <c r="E9" s="4">
        <v>18902</v>
      </c>
      <c r="F9" s="4">
        <v>95637.87</v>
      </c>
    </row>
    <row r="10" spans="1:6" x14ac:dyDescent="0.45">
      <c r="A10" s="2">
        <v>45692</v>
      </c>
      <c r="B10" s="4">
        <v>2868.22</v>
      </c>
      <c r="C10" s="4">
        <v>111671.65</v>
      </c>
      <c r="D10" s="3">
        <v>0</v>
      </c>
      <c r="E10" s="4">
        <v>18902</v>
      </c>
      <c r="F10" s="4">
        <v>95637.87</v>
      </c>
    </row>
    <row r="11" spans="1:6" x14ac:dyDescent="0.45">
      <c r="A11" s="2">
        <v>45693</v>
      </c>
      <c r="B11" s="4">
        <v>2868.22</v>
      </c>
      <c r="C11" s="4">
        <v>111671.65</v>
      </c>
      <c r="D11" s="3">
        <v>0</v>
      </c>
      <c r="E11" s="4">
        <v>18902</v>
      </c>
      <c r="F11" s="4">
        <v>95637.87</v>
      </c>
    </row>
    <row r="12" spans="1:6" x14ac:dyDescent="0.45">
      <c r="A12" s="2">
        <v>45694</v>
      </c>
      <c r="B12" s="4">
        <v>2868.22</v>
      </c>
      <c r="C12" s="4">
        <v>111671.65</v>
      </c>
      <c r="D12" s="3">
        <v>0</v>
      </c>
      <c r="E12" s="4">
        <v>18902</v>
      </c>
      <c r="F12" s="4">
        <v>95637.87</v>
      </c>
    </row>
    <row r="13" spans="1:6" x14ac:dyDescent="0.45">
      <c r="A13" s="2">
        <v>45695</v>
      </c>
      <c r="B13" s="4">
        <v>2868.22</v>
      </c>
      <c r="C13" s="4">
        <v>111671.65</v>
      </c>
      <c r="D13" s="3">
        <v>0</v>
      </c>
      <c r="E13" s="4">
        <v>18902</v>
      </c>
      <c r="F13" s="4">
        <v>95637.87</v>
      </c>
    </row>
    <row r="14" spans="1:6" x14ac:dyDescent="0.45">
      <c r="A14" s="2">
        <v>45696</v>
      </c>
      <c r="B14" s="4">
        <v>2868.22</v>
      </c>
      <c r="C14" s="4">
        <v>111671.65</v>
      </c>
      <c r="D14" s="3">
        <v>0</v>
      </c>
      <c r="E14" s="4">
        <v>18902</v>
      </c>
      <c r="F14" s="4">
        <v>95637.87</v>
      </c>
    </row>
    <row r="15" spans="1:6" x14ac:dyDescent="0.45">
      <c r="A15" s="2">
        <v>45699</v>
      </c>
      <c r="B15" s="4">
        <v>2868.22</v>
      </c>
      <c r="C15" s="4">
        <v>111671.65</v>
      </c>
      <c r="D15" s="3">
        <v>0</v>
      </c>
      <c r="E15" s="4">
        <v>18902</v>
      </c>
      <c r="F15" s="4">
        <v>95637.87</v>
      </c>
    </row>
    <row r="16" spans="1:6" x14ac:dyDescent="0.45">
      <c r="A16" s="2">
        <v>45700</v>
      </c>
      <c r="B16" s="4">
        <v>2868.22</v>
      </c>
      <c r="C16" s="4">
        <v>111671.65</v>
      </c>
      <c r="D16" s="3">
        <v>0</v>
      </c>
      <c r="E16" s="4">
        <v>18902</v>
      </c>
      <c r="F16" s="4">
        <v>95637.87</v>
      </c>
    </row>
    <row r="17" spans="1:6" x14ac:dyDescent="0.45">
      <c r="A17" s="2">
        <v>45701</v>
      </c>
      <c r="B17" s="4">
        <v>2868.22</v>
      </c>
      <c r="C17" s="4">
        <v>111671.65</v>
      </c>
      <c r="D17" s="3">
        <v>0</v>
      </c>
      <c r="E17" s="4">
        <v>18902</v>
      </c>
      <c r="F17" s="4">
        <v>95637.87</v>
      </c>
    </row>
    <row r="18" spans="1:6" x14ac:dyDescent="0.45">
      <c r="A18" s="2">
        <v>45702</v>
      </c>
      <c r="B18" s="4">
        <v>2868.22</v>
      </c>
      <c r="C18" s="4">
        <v>111671.65</v>
      </c>
      <c r="D18" s="3">
        <v>0</v>
      </c>
      <c r="E18" s="4">
        <v>18902</v>
      </c>
      <c r="F18" s="4">
        <v>95637.87</v>
      </c>
    </row>
    <row r="19" spans="1:6" x14ac:dyDescent="0.45">
      <c r="A19" s="2">
        <v>45703</v>
      </c>
      <c r="B19" s="4">
        <v>2868.22</v>
      </c>
      <c r="C19" s="4">
        <v>111671.65</v>
      </c>
      <c r="D19" s="3">
        <v>0</v>
      </c>
      <c r="E19" s="4">
        <v>18902</v>
      </c>
      <c r="F19" s="4">
        <v>95637.87</v>
      </c>
    </row>
    <row r="20" spans="1:6" x14ac:dyDescent="0.45">
      <c r="A20" s="2">
        <v>45706</v>
      </c>
      <c r="B20" s="4">
        <v>2868.22</v>
      </c>
      <c r="C20" s="4">
        <v>111671.65</v>
      </c>
      <c r="D20" s="3">
        <v>0</v>
      </c>
      <c r="E20" s="4">
        <v>18902</v>
      </c>
      <c r="F20" s="4">
        <v>95637.87</v>
      </c>
    </row>
    <row r="21" spans="1:6" x14ac:dyDescent="0.45">
      <c r="A21" s="2">
        <v>45707</v>
      </c>
      <c r="B21" s="4">
        <v>2868.22</v>
      </c>
      <c r="C21" s="4">
        <v>111671.65</v>
      </c>
      <c r="D21" s="3">
        <v>0</v>
      </c>
      <c r="E21" s="4">
        <v>18902</v>
      </c>
      <c r="F21" s="4">
        <v>95637.87</v>
      </c>
    </row>
    <row r="22" spans="1:6" x14ac:dyDescent="0.45">
      <c r="A22" s="2">
        <v>45708</v>
      </c>
      <c r="B22" s="4">
        <v>2868.22</v>
      </c>
      <c r="C22" s="4">
        <v>111671.65</v>
      </c>
      <c r="D22" s="3">
        <v>0</v>
      </c>
      <c r="E22" s="4">
        <v>18902</v>
      </c>
      <c r="F22" s="4">
        <v>95637.87</v>
      </c>
    </row>
    <row r="23" spans="1:6" x14ac:dyDescent="0.45">
      <c r="A23" s="2">
        <v>45709</v>
      </c>
      <c r="B23" s="4">
        <v>2868.22</v>
      </c>
      <c r="C23" s="4">
        <v>111671.65</v>
      </c>
      <c r="D23" s="3">
        <v>0</v>
      </c>
      <c r="E23" s="4">
        <v>18902</v>
      </c>
      <c r="F23" s="4">
        <v>95637.87</v>
      </c>
    </row>
    <row r="24" spans="1:6" x14ac:dyDescent="0.45">
      <c r="A24" s="2">
        <v>45710</v>
      </c>
      <c r="B24" s="4">
        <v>2868.22</v>
      </c>
      <c r="C24" s="4">
        <v>111671.65</v>
      </c>
      <c r="D24" s="3">
        <v>0</v>
      </c>
      <c r="E24" s="4">
        <v>18902</v>
      </c>
      <c r="F24" s="4">
        <v>95637.87</v>
      </c>
    </row>
    <row r="25" spans="1:6" x14ac:dyDescent="0.45">
      <c r="A25" s="2">
        <v>45713</v>
      </c>
      <c r="B25" s="4">
        <v>2868.22</v>
      </c>
      <c r="C25" s="4">
        <v>111671.65</v>
      </c>
      <c r="D25" s="3">
        <v>0</v>
      </c>
      <c r="E25" s="4">
        <v>18902</v>
      </c>
      <c r="F25" s="4">
        <v>95637.87</v>
      </c>
    </row>
    <row r="26" spans="1:6" x14ac:dyDescent="0.45">
      <c r="A26" s="2">
        <v>45714</v>
      </c>
      <c r="B26" s="4">
        <v>2868.22</v>
      </c>
      <c r="C26" s="4">
        <v>111671.65</v>
      </c>
      <c r="D26" s="3">
        <v>0</v>
      </c>
      <c r="E26" s="4">
        <v>18902</v>
      </c>
      <c r="F26" s="4">
        <v>95637.87</v>
      </c>
    </row>
    <row r="27" spans="1:6" x14ac:dyDescent="0.45">
      <c r="A27" s="2">
        <v>45715</v>
      </c>
      <c r="B27" s="4">
        <v>2868.22</v>
      </c>
      <c r="C27" s="4">
        <v>111671.65</v>
      </c>
      <c r="D27" s="3">
        <v>0</v>
      </c>
      <c r="E27" s="4">
        <v>18902</v>
      </c>
      <c r="F27" s="4">
        <v>95637.87</v>
      </c>
    </row>
    <row r="28" spans="1:6" x14ac:dyDescent="0.45">
      <c r="A28" s="2">
        <v>45716</v>
      </c>
      <c r="B28" s="4">
        <v>2868.22</v>
      </c>
      <c r="C28" s="4">
        <v>111671.65</v>
      </c>
      <c r="D28" s="3">
        <v>0</v>
      </c>
      <c r="E28" s="4">
        <v>18902</v>
      </c>
      <c r="F28" s="4">
        <v>95637.87</v>
      </c>
    </row>
    <row r="29" spans="1:6" x14ac:dyDescent="0.45">
      <c r="A29" s="2">
        <v>45717</v>
      </c>
      <c r="B29" s="4">
        <v>2868.22</v>
      </c>
      <c r="C29" s="4">
        <v>111671.65</v>
      </c>
      <c r="D29" s="3">
        <v>0</v>
      </c>
      <c r="E29" s="4">
        <v>18902</v>
      </c>
      <c r="F29" s="4">
        <v>95637.87</v>
      </c>
    </row>
    <row r="30" spans="1:6" x14ac:dyDescent="0.45">
      <c r="A30" s="2">
        <v>45720</v>
      </c>
      <c r="B30" s="4">
        <v>2868.22</v>
      </c>
      <c r="C30" s="4">
        <v>111671.65</v>
      </c>
      <c r="D30" s="3">
        <v>0</v>
      </c>
      <c r="E30" s="4">
        <v>18902</v>
      </c>
      <c r="F30" s="4">
        <v>95637.87</v>
      </c>
    </row>
    <row r="31" spans="1:6" x14ac:dyDescent="0.45">
      <c r="A31" s="2">
        <v>45721</v>
      </c>
      <c r="B31" s="4">
        <v>2868.22</v>
      </c>
      <c r="C31" s="4">
        <v>111671.65</v>
      </c>
      <c r="D31" s="3">
        <v>0</v>
      </c>
      <c r="E31" s="4">
        <v>18902</v>
      </c>
      <c r="F31" s="4">
        <v>95637.87</v>
      </c>
    </row>
    <row r="32" spans="1:6" x14ac:dyDescent="0.45">
      <c r="A32" s="2">
        <v>45722</v>
      </c>
      <c r="B32" s="4">
        <v>2868.22</v>
      </c>
      <c r="C32" s="4">
        <v>111671.65</v>
      </c>
      <c r="D32" s="3">
        <v>0</v>
      </c>
      <c r="E32" s="4">
        <v>18902</v>
      </c>
      <c r="F32" s="4">
        <v>95637.87</v>
      </c>
    </row>
    <row r="33" spans="1:6" x14ac:dyDescent="0.45">
      <c r="A33" s="2">
        <v>45723</v>
      </c>
      <c r="B33" s="4">
        <v>2868.22</v>
      </c>
      <c r="C33" s="4">
        <v>111671.65</v>
      </c>
      <c r="D33" s="3">
        <v>0</v>
      </c>
      <c r="E33" s="4">
        <v>18902</v>
      </c>
      <c r="F33" s="4">
        <v>95637.87</v>
      </c>
    </row>
    <row r="34" spans="1:6" x14ac:dyDescent="0.45">
      <c r="A34" s="2">
        <v>45724</v>
      </c>
      <c r="B34" s="4">
        <v>2868.22</v>
      </c>
      <c r="C34" s="4">
        <v>111671.65</v>
      </c>
      <c r="D34" s="3">
        <v>0</v>
      </c>
      <c r="E34" s="4">
        <v>18902</v>
      </c>
      <c r="F34" s="4">
        <v>95637.87</v>
      </c>
    </row>
    <row r="35" spans="1:6" x14ac:dyDescent="0.45">
      <c r="A35" s="2">
        <v>45727</v>
      </c>
      <c r="B35" s="4">
        <v>2868.22</v>
      </c>
      <c r="C35" s="4">
        <v>111671.65</v>
      </c>
      <c r="D35" s="3">
        <v>0</v>
      </c>
      <c r="E35" s="4">
        <v>18902</v>
      </c>
      <c r="F35" s="4">
        <v>95637.87</v>
      </c>
    </row>
    <row r="36" spans="1:6" x14ac:dyDescent="0.45">
      <c r="A36" s="2">
        <v>45728</v>
      </c>
      <c r="B36" s="4">
        <v>2868.22</v>
      </c>
      <c r="C36" s="4">
        <v>111671.65</v>
      </c>
      <c r="D36" s="3">
        <v>0</v>
      </c>
      <c r="E36" s="4">
        <v>18902</v>
      </c>
      <c r="F36" s="4">
        <v>95637.87</v>
      </c>
    </row>
    <row r="37" spans="1:6" x14ac:dyDescent="0.45">
      <c r="A37" s="2">
        <v>45729</v>
      </c>
      <c r="B37" s="4">
        <v>2868.22</v>
      </c>
      <c r="C37" s="4">
        <v>111671.65</v>
      </c>
      <c r="D37" s="3">
        <v>0</v>
      </c>
      <c r="E37" s="4">
        <v>18902</v>
      </c>
      <c r="F37" s="4">
        <v>95637.87</v>
      </c>
    </row>
    <row r="38" spans="1:6" x14ac:dyDescent="0.45">
      <c r="A38" s="2">
        <v>45730</v>
      </c>
      <c r="B38" s="4">
        <v>2868.22</v>
      </c>
      <c r="C38" s="4">
        <v>111671.65</v>
      </c>
      <c r="D38" s="3">
        <v>0</v>
      </c>
      <c r="E38" s="4">
        <v>18902</v>
      </c>
      <c r="F38" s="4">
        <v>95637.87</v>
      </c>
    </row>
    <row r="39" spans="1:6" x14ac:dyDescent="0.45">
      <c r="A39" s="2">
        <v>45731</v>
      </c>
      <c r="B39" s="4">
        <v>2868.22</v>
      </c>
      <c r="C39" s="4">
        <v>111671.65</v>
      </c>
      <c r="D39" s="3">
        <v>0</v>
      </c>
      <c r="E39" s="4">
        <v>18902</v>
      </c>
      <c r="F39" s="4">
        <v>95637.87</v>
      </c>
    </row>
    <row r="40" spans="1:6" x14ac:dyDescent="0.45">
      <c r="A40" s="2">
        <v>45734</v>
      </c>
      <c r="B40" s="4">
        <v>2868.22</v>
      </c>
      <c r="C40" s="4">
        <v>111671.65</v>
      </c>
      <c r="D40" s="3">
        <v>0</v>
      </c>
      <c r="E40" s="4">
        <v>18902</v>
      </c>
      <c r="F40" s="4">
        <v>95637.87</v>
      </c>
    </row>
    <row r="41" spans="1:6" x14ac:dyDescent="0.45">
      <c r="A41" s="2">
        <v>45735</v>
      </c>
      <c r="B41" s="4">
        <v>2868.22</v>
      </c>
      <c r="C41" s="4">
        <v>111671.65</v>
      </c>
      <c r="D41" s="3">
        <v>0</v>
      </c>
      <c r="E41" s="4">
        <v>18902</v>
      </c>
      <c r="F41" s="4">
        <v>95637.87</v>
      </c>
    </row>
    <row r="42" spans="1:6" x14ac:dyDescent="0.45">
      <c r="A42" s="2">
        <v>45736</v>
      </c>
      <c r="B42" s="4">
        <v>2868.22</v>
      </c>
      <c r="C42" s="4">
        <v>111671.65</v>
      </c>
      <c r="D42" s="3">
        <v>0</v>
      </c>
      <c r="E42" s="4">
        <v>18902</v>
      </c>
      <c r="F42" s="4">
        <v>95637.87</v>
      </c>
    </row>
    <row r="43" spans="1:6" x14ac:dyDescent="0.45">
      <c r="A43" s="2">
        <v>45737</v>
      </c>
      <c r="B43" s="4">
        <v>2868.22</v>
      </c>
      <c r="C43" s="4">
        <v>111671.65</v>
      </c>
      <c r="D43" s="3">
        <v>0</v>
      </c>
      <c r="E43" s="4">
        <v>18902</v>
      </c>
      <c r="F43" s="4">
        <v>95637.87</v>
      </c>
    </row>
    <row r="44" spans="1:6" x14ac:dyDescent="0.45">
      <c r="A44" s="2">
        <v>45738</v>
      </c>
      <c r="B44" s="4">
        <v>2868.22</v>
      </c>
      <c r="C44" s="4">
        <v>111671.65</v>
      </c>
      <c r="D44" s="3">
        <v>0</v>
      </c>
      <c r="E44" s="4">
        <v>18902</v>
      </c>
      <c r="F44" s="4">
        <v>95637.87</v>
      </c>
    </row>
    <row r="45" spans="1:6" x14ac:dyDescent="0.45">
      <c r="A45" s="2">
        <v>45741</v>
      </c>
      <c r="B45" s="4">
        <v>2868.22</v>
      </c>
      <c r="C45" s="4">
        <v>111671.65</v>
      </c>
      <c r="D45" s="3">
        <v>0</v>
      </c>
      <c r="E45" s="4">
        <v>18902</v>
      </c>
      <c r="F45" s="4">
        <v>95637.87</v>
      </c>
    </row>
    <row r="46" spans="1:6" x14ac:dyDescent="0.45">
      <c r="A46" s="2">
        <v>45742</v>
      </c>
      <c r="B46" s="4">
        <v>2868.22</v>
      </c>
      <c r="C46" s="4">
        <v>111671.65</v>
      </c>
      <c r="D46" s="3">
        <v>0</v>
      </c>
      <c r="E46" s="4">
        <v>18902</v>
      </c>
      <c r="F46" s="4">
        <v>95637.87</v>
      </c>
    </row>
    <row r="47" spans="1:6" x14ac:dyDescent="0.45">
      <c r="A47" s="2">
        <v>45743</v>
      </c>
      <c r="B47" s="4">
        <v>2868.22</v>
      </c>
      <c r="C47" s="4">
        <v>111671.65</v>
      </c>
      <c r="D47" s="3">
        <v>0</v>
      </c>
      <c r="E47" s="4">
        <v>18902</v>
      </c>
      <c r="F47" s="4">
        <v>95637.87</v>
      </c>
    </row>
    <row r="48" spans="1:6" x14ac:dyDescent="0.45">
      <c r="A48" s="2">
        <v>45744</v>
      </c>
      <c r="B48" s="4">
        <v>2868.22</v>
      </c>
      <c r="C48" s="4">
        <v>111671.65</v>
      </c>
      <c r="D48" s="3">
        <v>0</v>
      </c>
      <c r="E48" s="4">
        <v>18902</v>
      </c>
      <c r="F48" s="4">
        <v>95637.87</v>
      </c>
    </row>
    <row r="49" spans="1:6" x14ac:dyDescent="0.45">
      <c r="A49" s="2">
        <v>45745</v>
      </c>
      <c r="B49" s="4">
        <v>2868.22</v>
      </c>
      <c r="C49" s="4">
        <v>111671.65</v>
      </c>
      <c r="D49" s="3">
        <v>0</v>
      </c>
      <c r="E49" s="4">
        <v>18902</v>
      </c>
      <c r="F49" s="4">
        <v>95637.87</v>
      </c>
    </row>
    <row r="50" spans="1:6" x14ac:dyDescent="0.45">
      <c r="A50" s="2">
        <v>45748</v>
      </c>
      <c r="B50" s="4">
        <v>2875.82</v>
      </c>
      <c r="C50" s="4">
        <v>98816.84</v>
      </c>
      <c r="D50" s="3">
        <v>0</v>
      </c>
      <c r="E50" s="4">
        <v>17749</v>
      </c>
      <c r="F50" s="4">
        <v>83943.66</v>
      </c>
    </row>
    <row r="51" spans="1:6" x14ac:dyDescent="0.45">
      <c r="A51" s="2">
        <v>45749</v>
      </c>
      <c r="B51" s="4">
        <v>2875.82</v>
      </c>
      <c r="C51" s="4">
        <v>98816.84</v>
      </c>
      <c r="D51" s="3">
        <v>0</v>
      </c>
      <c r="E51" s="4">
        <v>17749</v>
      </c>
      <c r="F51" s="4">
        <v>83943.66</v>
      </c>
    </row>
    <row r="52" spans="1:6" x14ac:dyDescent="0.45">
      <c r="A52" s="2">
        <v>45750</v>
      </c>
      <c r="B52" s="4">
        <v>2875.82</v>
      </c>
      <c r="C52" s="4">
        <v>98816.84</v>
      </c>
      <c r="D52" s="3">
        <v>0</v>
      </c>
      <c r="E52" s="4">
        <v>17749</v>
      </c>
      <c r="F52" s="4">
        <v>83943.66</v>
      </c>
    </row>
    <row r="53" spans="1:6" x14ac:dyDescent="0.45">
      <c r="A53" s="2">
        <v>45751</v>
      </c>
      <c r="B53" s="4">
        <v>2875.82</v>
      </c>
      <c r="C53" s="4">
        <v>98816.84</v>
      </c>
      <c r="D53" s="3">
        <v>0</v>
      </c>
      <c r="E53" s="4">
        <v>17749</v>
      </c>
      <c r="F53" s="4">
        <v>83943.66</v>
      </c>
    </row>
    <row r="54" spans="1:6" x14ac:dyDescent="0.45">
      <c r="A54" s="2">
        <v>45752</v>
      </c>
      <c r="B54" s="4">
        <v>2875.82</v>
      </c>
      <c r="C54" s="4">
        <v>98816.84</v>
      </c>
      <c r="D54" s="3">
        <v>0</v>
      </c>
      <c r="E54" s="4">
        <v>17749</v>
      </c>
      <c r="F54" s="4">
        <v>83943.66</v>
      </c>
    </row>
    <row r="55" spans="1:6" x14ac:dyDescent="0.45">
      <c r="A55" s="2">
        <v>45755</v>
      </c>
      <c r="B55" s="4">
        <v>2828.82</v>
      </c>
      <c r="C55" s="4">
        <v>86167.72</v>
      </c>
      <c r="D55" s="3">
        <v>0</v>
      </c>
      <c r="E55" s="4">
        <v>17358.599999999999</v>
      </c>
      <c r="F55" s="4">
        <v>71637.94</v>
      </c>
    </row>
    <row r="56" spans="1:6" x14ac:dyDescent="0.45">
      <c r="A56" s="2">
        <v>45756</v>
      </c>
      <c r="B56" s="4">
        <v>2828.82</v>
      </c>
      <c r="C56" s="4">
        <v>86167.72</v>
      </c>
      <c r="D56" s="3">
        <v>0</v>
      </c>
      <c r="E56" s="4">
        <v>17358.599999999999</v>
      </c>
      <c r="F56" s="4">
        <v>71637.94</v>
      </c>
    </row>
    <row r="57" spans="1:6" x14ac:dyDescent="0.45">
      <c r="A57" s="2">
        <v>45757</v>
      </c>
      <c r="B57" s="4">
        <v>2828.82</v>
      </c>
      <c r="C57" s="4">
        <v>86167.72</v>
      </c>
      <c r="D57" s="3">
        <v>0</v>
      </c>
      <c r="E57" s="4">
        <v>17358.599999999999</v>
      </c>
      <c r="F57" s="4">
        <v>71637.94</v>
      </c>
    </row>
    <row r="58" spans="1:6" x14ac:dyDescent="0.45">
      <c r="A58" s="2">
        <v>45758</v>
      </c>
      <c r="B58" s="4">
        <v>2828.82</v>
      </c>
      <c r="C58" s="4">
        <v>86167.72</v>
      </c>
      <c r="D58" s="3">
        <v>0</v>
      </c>
      <c r="E58" s="4">
        <v>17358.599999999999</v>
      </c>
      <c r="F58" s="4">
        <v>71637.94</v>
      </c>
    </row>
    <row r="59" spans="1:6" x14ac:dyDescent="0.45">
      <c r="A59" s="2">
        <v>45759</v>
      </c>
      <c r="B59" s="4">
        <v>2828.82</v>
      </c>
      <c r="C59" s="4">
        <v>86167.72</v>
      </c>
      <c r="D59" s="3">
        <v>0</v>
      </c>
      <c r="E59" s="4">
        <v>17358.599999999999</v>
      </c>
      <c r="F59" s="4">
        <v>71637.94</v>
      </c>
    </row>
    <row r="60" spans="1:6" x14ac:dyDescent="0.45">
      <c r="A60" s="2">
        <v>45762</v>
      </c>
      <c r="B60" s="4">
        <v>2828.82</v>
      </c>
      <c r="C60" s="4">
        <v>86167.72</v>
      </c>
      <c r="D60" s="3">
        <v>0</v>
      </c>
      <c r="E60" s="4">
        <v>17358.599999999999</v>
      </c>
      <c r="F60" s="4">
        <v>71637.94</v>
      </c>
    </row>
    <row r="61" spans="1:6" x14ac:dyDescent="0.45">
      <c r="A61" s="2">
        <v>45763</v>
      </c>
      <c r="B61" s="4">
        <v>2828.82</v>
      </c>
      <c r="C61" s="4">
        <v>86167.72</v>
      </c>
      <c r="D61" s="3">
        <v>0</v>
      </c>
      <c r="E61" s="4">
        <v>17358.599999999999</v>
      </c>
      <c r="F61" s="4">
        <v>71637.94</v>
      </c>
    </row>
    <row r="62" spans="1:6" x14ac:dyDescent="0.45">
      <c r="A62" s="2">
        <v>45764</v>
      </c>
      <c r="B62" s="4">
        <v>2828.82</v>
      </c>
      <c r="C62" s="4">
        <v>86167.72</v>
      </c>
      <c r="D62" s="3">
        <v>0</v>
      </c>
      <c r="E62" s="4">
        <v>17358.599999999999</v>
      </c>
      <c r="F62" s="4">
        <v>71637.94</v>
      </c>
    </row>
    <row r="63" spans="1:6" x14ac:dyDescent="0.45">
      <c r="A63" s="2">
        <v>45765</v>
      </c>
      <c r="B63" s="4">
        <v>2828.82</v>
      </c>
      <c r="C63" s="4">
        <v>86167.72</v>
      </c>
      <c r="D63" s="3">
        <v>0</v>
      </c>
      <c r="E63" s="4">
        <v>17358.599999999999</v>
      </c>
      <c r="F63" s="4">
        <v>71637.94</v>
      </c>
    </row>
    <row r="64" spans="1:6" x14ac:dyDescent="0.45">
      <c r="A64" s="2">
        <v>45766</v>
      </c>
      <c r="B64" s="4">
        <v>2828.82</v>
      </c>
      <c r="C64" s="4">
        <v>86167.72</v>
      </c>
      <c r="D64" s="3">
        <v>0</v>
      </c>
      <c r="E64" s="4">
        <v>17358.599999999999</v>
      </c>
      <c r="F64" s="4">
        <v>71637.94</v>
      </c>
    </row>
    <row r="65" spans="1:6" x14ac:dyDescent="0.45">
      <c r="A65" s="2">
        <v>45769</v>
      </c>
      <c r="B65" s="4">
        <v>2828.82</v>
      </c>
      <c r="C65" s="4">
        <v>86167.72</v>
      </c>
      <c r="D65" s="3">
        <v>0</v>
      </c>
      <c r="E65" s="4">
        <v>17358.599999999999</v>
      </c>
      <c r="F65" s="4">
        <v>71637.94</v>
      </c>
    </row>
    <row r="66" spans="1:6" x14ac:dyDescent="0.45">
      <c r="A66" s="2">
        <v>45770</v>
      </c>
      <c r="B66" s="4">
        <v>2828.82</v>
      </c>
      <c r="C66" s="4">
        <v>86167.72</v>
      </c>
      <c r="D66" s="3">
        <v>0</v>
      </c>
      <c r="E66" s="4">
        <v>17358.599999999999</v>
      </c>
      <c r="F66" s="4">
        <v>71637.94</v>
      </c>
    </row>
    <row r="67" spans="1:6" x14ac:dyDescent="0.45">
      <c r="A67" s="2">
        <v>45771</v>
      </c>
      <c r="B67" s="4">
        <v>2828.82</v>
      </c>
      <c r="C67" s="4">
        <v>86167.72</v>
      </c>
      <c r="D67" s="3">
        <v>0</v>
      </c>
      <c r="E67" s="4">
        <v>17358.599999999999</v>
      </c>
      <c r="F67" s="4">
        <v>71637.94</v>
      </c>
    </row>
    <row r="68" spans="1:6" x14ac:dyDescent="0.45">
      <c r="A68" s="2">
        <v>45772</v>
      </c>
      <c r="B68" s="4">
        <v>2828.82</v>
      </c>
      <c r="C68" s="4">
        <v>86167.72</v>
      </c>
      <c r="D68" s="3">
        <v>0</v>
      </c>
      <c r="E68" s="4">
        <v>17358.599999999999</v>
      </c>
      <c r="F68" s="4">
        <v>71637.94</v>
      </c>
    </row>
    <row r="69" spans="1:6" x14ac:dyDescent="0.45">
      <c r="A69" s="2">
        <v>45773</v>
      </c>
      <c r="B69" s="4">
        <v>2828.82</v>
      </c>
      <c r="C69" s="4">
        <v>86167.72</v>
      </c>
      <c r="D69" s="3">
        <v>0</v>
      </c>
      <c r="E69" s="4">
        <v>17358.599999999999</v>
      </c>
      <c r="F69" s="4">
        <v>71637.94</v>
      </c>
    </row>
    <row r="70" spans="1:6" x14ac:dyDescent="0.45">
      <c r="A70" s="2">
        <v>45776</v>
      </c>
      <c r="B70" s="4">
        <v>2828.82</v>
      </c>
      <c r="C70" s="4">
        <v>86167.72</v>
      </c>
      <c r="D70" s="3">
        <v>0</v>
      </c>
      <c r="E70" s="4">
        <v>17358.599999999999</v>
      </c>
      <c r="F70" s="4">
        <v>71637.94</v>
      </c>
    </row>
    <row r="71" spans="1:6" x14ac:dyDescent="0.45">
      <c r="A71" s="2">
        <v>45777</v>
      </c>
      <c r="B71" s="4">
        <v>2828.82</v>
      </c>
      <c r="C71" s="4">
        <v>86167.72</v>
      </c>
      <c r="D71" s="3">
        <v>0</v>
      </c>
      <c r="E71" s="4">
        <v>17358.599999999999</v>
      </c>
      <c r="F71" s="4">
        <v>71637.94</v>
      </c>
    </row>
    <row r="72" spans="1:6" x14ac:dyDescent="0.45">
      <c r="A72" s="2">
        <v>45778</v>
      </c>
      <c r="B72" s="4">
        <v>2828.82</v>
      </c>
      <c r="C72" s="4">
        <v>86167.72</v>
      </c>
      <c r="D72" s="3">
        <v>0</v>
      </c>
      <c r="E72" s="4">
        <v>17358.599999999999</v>
      </c>
      <c r="F72" s="4">
        <v>71637.94</v>
      </c>
    </row>
    <row r="73" spans="1:6" x14ac:dyDescent="0.45">
      <c r="A73" s="2">
        <v>45779</v>
      </c>
      <c r="B73" s="4">
        <v>2828.82</v>
      </c>
      <c r="C73" s="4">
        <v>86167.72</v>
      </c>
      <c r="D73" s="3">
        <v>0</v>
      </c>
      <c r="E73" s="4">
        <v>17358.599999999999</v>
      </c>
      <c r="F73" s="4">
        <v>71637.94</v>
      </c>
    </row>
    <row r="74" spans="1:6" x14ac:dyDescent="0.45">
      <c r="A74" s="2">
        <v>45780</v>
      </c>
      <c r="B74" s="4">
        <v>2828.82</v>
      </c>
      <c r="C74" s="4">
        <v>86167.72</v>
      </c>
      <c r="D74" s="3">
        <v>0</v>
      </c>
      <c r="E74" s="4">
        <v>17358.599999999999</v>
      </c>
      <c r="F74" s="4">
        <v>71637.94</v>
      </c>
    </row>
    <row r="75" spans="1:6" x14ac:dyDescent="0.45">
      <c r="A75" s="2">
        <v>45783</v>
      </c>
      <c r="B75" s="4">
        <v>2828.82</v>
      </c>
      <c r="C75" s="4">
        <v>86167.72</v>
      </c>
      <c r="D75" s="3">
        <v>0</v>
      </c>
      <c r="E75" s="4">
        <v>17358.599999999999</v>
      </c>
      <c r="F75" s="4">
        <v>71637.94</v>
      </c>
    </row>
    <row r="76" spans="1:6" x14ac:dyDescent="0.45">
      <c r="A76" s="2">
        <v>45784</v>
      </c>
      <c r="B76" s="4">
        <v>2828.82</v>
      </c>
      <c r="C76" s="4">
        <v>86167.72</v>
      </c>
      <c r="D76" s="3">
        <v>0</v>
      </c>
      <c r="E76" s="4">
        <v>17358.599999999999</v>
      </c>
      <c r="F76" s="4">
        <v>71637.94</v>
      </c>
    </row>
    <row r="77" spans="1:6" x14ac:dyDescent="0.45">
      <c r="A77" s="2">
        <v>45785</v>
      </c>
      <c r="B77" s="4">
        <v>2828.82</v>
      </c>
      <c r="C77" s="4">
        <v>86167.72</v>
      </c>
      <c r="D77" s="3">
        <v>0</v>
      </c>
      <c r="E77" s="4">
        <v>17358.599999999999</v>
      </c>
      <c r="F77" s="4">
        <v>71637.94</v>
      </c>
    </row>
    <row r="78" spans="1:6" x14ac:dyDescent="0.45">
      <c r="A78" s="2">
        <v>45786</v>
      </c>
      <c r="B78" s="4">
        <v>2828.82</v>
      </c>
      <c r="C78" s="4">
        <v>86167.72</v>
      </c>
      <c r="D78" s="3">
        <v>0</v>
      </c>
      <c r="E78" s="4">
        <v>17358.599999999999</v>
      </c>
      <c r="F78" s="4">
        <v>71637.94</v>
      </c>
    </row>
    <row r="79" spans="1:6" x14ac:dyDescent="0.45">
      <c r="A79" s="2">
        <v>45787</v>
      </c>
      <c r="B79" s="4">
        <v>2828.82</v>
      </c>
      <c r="C79" s="4">
        <v>86167.72</v>
      </c>
      <c r="D79" s="3">
        <v>0</v>
      </c>
      <c r="E79" s="4">
        <v>17358.599999999999</v>
      </c>
      <c r="F79" s="4">
        <v>71637.94</v>
      </c>
    </row>
    <row r="80" spans="1:6" x14ac:dyDescent="0.45">
      <c r="A80" s="2">
        <v>45790</v>
      </c>
      <c r="B80" s="4">
        <v>2828.82</v>
      </c>
      <c r="C80" s="4">
        <v>110012.25</v>
      </c>
      <c r="D80" s="3">
        <v>0</v>
      </c>
      <c r="E80" s="4">
        <v>20071.79</v>
      </c>
      <c r="F80" s="4">
        <v>92769.27</v>
      </c>
    </row>
    <row r="81" spans="1:6" x14ac:dyDescent="0.45">
      <c r="A81" s="2">
        <v>45791</v>
      </c>
      <c r="B81" s="4">
        <v>2828.82</v>
      </c>
      <c r="C81" s="4">
        <v>112974.46</v>
      </c>
      <c r="D81" s="3">
        <v>0</v>
      </c>
      <c r="E81" s="4">
        <v>19897.599999999999</v>
      </c>
      <c r="F81" s="4">
        <v>95905.68</v>
      </c>
    </row>
    <row r="82" spans="1:6" x14ac:dyDescent="0.45">
      <c r="A82" s="2">
        <v>45792</v>
      </c>
      <c r="B82" s="4">
        <v>2828.82</v>
      </c>
      <c r="C82" s="4">
        <v>114322.88</v>
      </c>
      <c r="D82" s="3">
        <v>0</v>
      </c>
      <c r="E82" s="4">
        <v>19384.8</v>
      </c>
      <c r="F82" s="4">
        <v>97766.9</v>
      </c>
    </row>
    <row r="83" spans="1:6" x14ac:dyDescent="0.45">
      <c r="A83" s="2">
        <v>45793</v>
      </c>
      <c r="B83" s="4">
        <v>2828.82</v>
      </c>
      <c r="C83" s="4">
        <v>114129.36</v>
      </c>
      <c r="D83" s="3">
        <v>0</v>
      </c>
      <c r="E83" s="4">
        <v>19288.8</v>
      </c>
      <c r="F83" s="4">
        <v>97669.38</v>
      </c>
    </row>
    <row r="84" spans="1:6" x14ac:dyDescent="0.45">
      <c r="A84" s="2">
        <v>45794</v>
      </c>
      <c r="B84" s="4">
        <v>2828.82</v>
      </c>
      <c r="C84" s="4">
        <v>115244.55</v>
      </c>
      <c r="D84" s="3">
        <v>0</v>
      </c>
      <c r="E84" s="4">
        <v>19666.400000000001</v>
      </c>
      <c r="F84" s="4">
        <v>98406.97</v>
      </c>
    </row>
    <row r="85" spans="1:6" x14ac:dyDescent="0.45">
      <c r="A85" s="2">
        <v>45797</v>
      </c>
      <c r="B85" s="4">
        <v>2828.82</v>
      </c>
      <c r="C85" s="4">
        <v>114171.54</v>
      </c>
      <c r="D85" s="3">
        <v>0</v>
      </c>
      <c r="E85" s="4">
        <v>19642.29</v>
      </c>
      <c r="F85" s="4">
        <v>97358.07</v>
      </c>
    </row>
    <row r="86" spans="1:6" x14ac:dyDescent="0.45">
      <c r="A86" s="2">
        <v>45798</v>
      </c>
      <c r="B86" s="4">
        <v>2828.82</v>
      </c>
      <c r="C86" s="4">
        <v>114468.96</v>
      </c>
      <c r="D86" s="3">
        <v>0</v>
      </c>
      <c r="E86" s="4">
        <v>19578.400000000001</v>
      </c>
      <c r="F86" s="4">
        <v>97719.38</v>
      </c>
    </row>
    <row r="87" spans="1:6" x14ac:dyDescent="0.45">
      <c r="A87" s="2">
        <v>45799</v>
      </c>
      <c r="B87" s="4">
        <v>2828.82</v>
      </c>
      <c r="C87" s="4">
        <v>112272.5</v>
      </c>
      <c r="D87" s="3">
        <v>0</v>
      </c>
      <c r="E87" s="4">
        <v>19304.400000000001</v>
      </c>
      <c r="F87" s="4">
        <v>95796.92</v>
      </c>
    </row>
    <row r="88" spans="1:6" x14ac:dyDescent="0.45">
      <c r="A88" s="2">
        <v>45800</v>
      </c>
      <c r="B88" s="4">
        <v>2828.82</v>
      </c>
      <c r="C88" s="4">
        <v>112770.26</v>
      </c>
      <c r="D88" s="3">
        <v>0</v>
      </c>
      <c r="E88" s="4">
        <v>19204.400000000001</v>
      </c>
      <c r="F88" s="4">
        <v>96394.68</v>
      </c>
    </row>
    <row r="89" spans="1:6" x14ac:dyDescent="0.45">
      <c r="A89" s="2">
        <v>45801</v>
      </c>
      <c r="B89" s="4">
        <v>2828.82</v>
      </c>
      <c r="C89" s="4">
        <v>112439.48</v>
      </c>
      <c r="D89" s="3">
        <v>0</v>
      </c>
      <c r="E89" s="4">
        <v>19286.28</v>
      </c>
      <c r="F89" s="4">
        <v>95982.02</v>
      </c>
    </row>
    <row r="90" spans="1:6" x14ac:dyDescent="0.45">
      <c r="A90" s="2">
        <v>45804</v>
      </c>
      <c r="B90" s="4">
        <v>2781.82</v>
      </c>
      <c r="C90" s="4">
        <v>112439.48</v>
      </c>
      <c r="D90" s="3">
        <v>0</v>
      </c>
      <c r="E90" s="4">
        <v>19286.28</v>
      </c>
      <c r="F90" s="4">
        <v>95935.02</v>
      </c>
    </row>
    <row r="91" spans="1:6" x14ac:dyDescent="0.45">
      <c r="A91" s="2">
        <v>45805</v>
      </c>
      <c r="B91" s="4">
        <v>2781.82</v>
      </c>
      <c r="C91" s="4">
        <v>114790.7</v>
      </c>
      <c r="D91" s="3">
        <v>0</v>
      </c>
      <c r="E91" s="4">
        <v>19534.2</v>
      </c>
      <c r="F91" s="4">
        <v>98038.32</v>
      </c>
    </row>
    <row r="92" spans="1:6" x14ac:dyDescent="0.45">
      <c r="A92" s="2">
        <v>45806</v>
      </c>
      <c r="B92" s="4">
        <v>2781.82</v>
      </c>
      <c r="C92" s="4">
        <v>113802.82</v>
      </c>
      <c r="D92" s="3">
        <v>0</v>
      </c>
      <c r="E92" s="4">
        <v>19465.689999999999</v>
      </c>
      <c r="F92" s="4">
        <v>97118.95</v>
      </c>
    </row>
    <row r="93" spans="1:6" x14ac:dyDescent="0.45">
      <c r="A93" s="2">
        <v>45807</v>
      </c>
      <c r="B93" s="4">
        <v>2781.82</v>
      </c>
      <c r="C93" s="4">
        <v>115593.18</v>
      </c>
      <c r="D93" s="3">
        <v>0</v>
      </c>
      <c r="E93" s="4">
        <v>19438</v>
      </c>
      <c r="F93" s="4">
        <v>98937</v>
      </c>
    </row>
    <row r="94" spans="1:6" x14ac:dyDescent="0.45">
      <c r="A94" s="2">
        <v>45808</v>
      </c>
      <c r="B94" s="4">
        <v>2781.82</v>
      </c>
      <c r="C94" s="4">
        <v>113971.06</v>
      </c>
      <c r="D94" s="3">
        <v>0</v>
      </c>
      <c r="E94" s="4">
        <v>19761.599999999999</v>
      </c>
      <c r="F94" s="4">
        <v>96991.28</v>
      </c>
    </row>
    <row r="95" spans="1:6" x14ac:dyDescent="0.45">
      <c r="A95" s="2">
        <v>45811</v>
      </c>
      <c r="B95" s="4">
        <v>2781.82</v>
      </c>
      <c r="C95" s="4">
        <v>114532.26</v>
      </c>
      <c r="D95" s="3">
        <v>0</v>
      </c>
      <c r="E95" s="4">
        <v>19971.8</v>
      </c>
      <c r="F95" s="4">
        <v>97342.28</v>
      </c>
    </row>
    <row r="96" spans="1:6" x14ac:dyDescent="0.45">
      <c r="A96" s="2">
        <v>45812</v>
      </c>
      <c r="B96" s="4">
        <v>2781.82</v>
      </c>
      <c r="C96" s="4">
        <v>115114.09</v>
      </c>
      <c r="D96" s="3">
        <v>0</v>
      </c>
      <c r="E96" s="4">
        <v>20013.3</v>
      </c>
      <c r="F96" s="4">
        <v>97882.61</v>
      </c>
    </row>
    <row r="97" spans="1:6" x14ac:dyDescent="0.45">
      <c r="A97" s="2">
        <v>45813</v>
      </c>
      <c r="B97" s="4">
        <v>2781.82</v>
      </c>
      <c r="C97" s="4">
        <v>113351.74</v>
      </c>
      <c r="D97" s="3">
        <v>0</v>
      </c>
      <c r="E97" s="4">
        <v>19887.64</v>
      </c>
      <c r="F97" s="4">
        <v>96245.92</v>
      </c>
    </row>
    <row r="98" spans="1:6" x14ac:dyDescent="0.45">
      <c r="A98" s="2">
        <v>45814</v>
      </c>
      <c r="B98" s="4">
        <v>2781.82</v>
      </c>
      <c r="C98" s="4">
        <v>107691.88</v>
      </c>
      <c r="D98" s="3">
        <v>0</v>
      </c>
      <c r="E98" s="4">
        <v>19608</v>
      </c>
      <c r="F98" s="4">
        <v>90865.7</v>
      </c>
    </row>
    <row r="99" spans="1:6" x14ac:dyDescent="0.45">
      <c r="A99" s="2">
        <v>45815</v>
      </c>
      <c r="B99" s="4">
        <v>2781.82</v>
      </c>
      <c r="C99" s="4">
        <v>109443.74</v>
      </c>
      <c r="D99" s="3">
        <v>0</v>
      </c>
      <c r="E99" s="4">
        <v>19510.98</v>
      </c>
      <c r="F99" s="4">
        <v>92714.58</v>
      </c>
    </row>
    <row r="100" spans="1:6" x14ac:dyDescent="0.45">
      <c r="A100" s="2">
        <v>45818</v>
      </c>
      <c r="B100" s="4">
        <v>2781.82</v>
      </c>
      <c r="C100" s="4">
        <v>112157.36</v>
      </c>
      <c r="D100" s="3">
        <v>0</v>
      </c>
      <c r="E100" s="4">
        <v>19507.830000000002</v>
      </c>
      <c r="F100" s="4">
        <v>95431.35</v>
      </c>
    </row>
    <row r="101" spans="1:6" x14ac:dyDescent="0.45">
      <c r="A101" s="2">
        <v>45819</v>
      </c>
      <c r="B101" s="4">
        <v>2781.82</v>
      </c>
      <c r="C101" s="4">
        <v>113502.92</v>
      </c>
      <c r="D101" s="3">
        <v>0</v>
      </c>
      <c r="E101" s="4">
        <v>19480.91</v>
      </c>
      <c r="F101" s="4">
        <v>96803.83</v>
      </c>
    </row>
    <row r="102" spans="1:6" x14ac:dyDescent="0.45">
      <c r="A102" s="2">
        <v>45820</v>
      </c>
      <c r="B102" s="4">
        <v>2781.82</v>
      </c>
      <c r="C102" s="4">
        <v>112950.06</v>
      </c>
      <c r="D102" s="3">
        <v>0</v>
      </c>
      <c r="E102" s="4">
        <v>19176.900000000001</v>
      </c>
      <c r="F102" s="4">
        <v>96554.98</v>
      </c>
    </row>
    <row r="103" spans="1:6" x14ac:dyDescent="0.45">
      <c r="A103" s="2">
        <v>45821</v>
      </c>
      <c r="B103" s="4">
        <v>2781.82</v>
      </c>
      <c r="C103" s="4">
        <v>110299.05</v>
      </c>
      <c r="D103" s="3">
        <v>0</v>
      </c>
      <c r="E103" s="4">
        <v>18982.46</v>
      </c>
      <c r="F103" s="4">
        <v>94098.41</v>
      </c>
    </row>
    <row r="104" spans="1:6" x14ac:dyDescent="0.45">
      <c r="A104" s="2">
        <v>45822</v>
      </c>
      <c r="B104" s="4">
        <v>2781.82</v>
      </c>
      <c r="C104" s="4">
        <v>109854.54</v>
      </c>
      <c r="D104" s="3">
        <v>0</v>
      </c>
      <c r="E104" s="4">
        <v>18904.689999999999</v>
      </c>
      <c r="F104" s="4">
        <v>93731.67</v>
      </c>
    </row>
    <row r="105" spans="1:6" x14ac:dyDescent="0.45">
      <c r="A105" s="2">
        <v>45825</v>
      </c>
      <c r="B105" s="4">
        <v>2781.82</v>
      </c>
      <c r="C105" s="4">
        <v>110806.03</v>
      </c>
      <c r="D105" s="3">
        <v>0</v>
      </c>
      <c r="E105" s="4">
        <v>18874.2</v>
      </c>
      <c r="F105" s="4">
        <v>94713.65</v>
      </c>
    </row>
    <row r="106" spans="1:6" x14ac:dyDescent="0.45">
      <c r="A106" s="2">
        <v>45826</v>
      </c>
      <c r="B106" s="4">
        <v>2781.82</v>
      </c>
      <c r="C106" s="4">
        <v>108826.39</v>
      </c>
      <c r="D106" s="3">
        <v>0</v>
      </c>
      <c r="E106" s="4">
        <v>18866.599999999999</v>
      </c>
      <c r="F106" s="4">
        <v>92741.61</v>
      </c>
    </row>
    <row r="107" spans="1:6" x14ac:dyDescent="0.45">
      <c r="A107" s="2">
        <v>45827</v>
      </c>
      <c r="B107" s="4">
        <v>2781.82</v>
      </c>
      <c r="C107" s="4">
        <v>109197.91</v>
      </c>
      <c r="D107" s="3">
        <v>0</v>
      </c>
      <c r="E107" s="4">
        <v>19034.400000000001</v>
      </c>
      <c r="F107" s="4">
        <v>92945.33</v>
      </c>
    </row>
    <row r="108" spans="1:6" x14ac:dyDescent="0.45">
      <c r="A108" s="2">
        <v>45828</v>
      </c>
      <c r="B108" s="4">
        <v>2781.82</v>
      </c>
      <c r="C108" s="4">
        <v>109197.91</v>
      </c>
      <c r="D108" s="3">
        <v>0</v>
      </c>
      <c r="E108" s="4">
        <v>19034.400000000001</v>
      </c>
      <c r="F108" s="4">
        <v>92945.33</v>
      </c>
    </row>
    <row r="109" spans="1:6" x14ac:dyDescent="0.45">
      <c r="A109" s="2">
        <v>45829</v>
      </c>
      <c r="B109" s="4">
        <v>2781.82</v>
      </c>
      <c r="C109" s="4">
        <v>109264.9</v>
      </c>
      <c r="D109" s="3">
        <v>0</v>
      </c>
      <c r="E109" s="4">
        <v>19240.400000000001</v>
      </c>
      <c r="F109" s="4">
        <v>92806.32</v>
      </c>
    </row>
    <row r="110" spans="1:6" x14ac:dyDescent="0.45">
      <c r="A110" s="2">
        <v>45832</v>
      </c>
      <c r="B110" s="4">
        <v>2781.82</v>
      </c>
      <c r="C110" s="4">
        <v>112641.94</v>
      </c>
      <c r="D110" s="3">
        <v>0</v>
      </c>
      <c r="E110" s="4">
        <v>19589.599999999999</v>
      </c>
      <c r="F110" s="4">
        <v>95834.16</v>
      </c>
    </row>
    <row r="111" spans="1:6" x14ac:dyDescent="0.45">
      <c r="A111" s="2">
        <v>45833</v>
      </c>
      <c r="B111" s="4">
        <v>2781.82</v>
      </c>
      <c r="C111" s="4">
        <v>112314.35</v>
      </c>
      <c r="D111" s="3">
        <v>0</v>
      </c>
      <c r="E111" s="4">
        <v>19615.580000000002</v>
      </c>
      <c r="F111" s="4">
        <v>95480.59</v>
      </c>
    </row>
    <row r="112" spans="1:6" x14ac:dyDescent="0.45">
      <c r="A112" s="2">
        <v>45834</v>
      </c>
      <c r="B112" s="4">
        <v>2781.82</v>
      </c>
      <c r="C112" s="4">
        <v>110507.62</v>
      </c>
      <c r="D112" s="3">
        <v>0</v>
      </c>
      <c r="E112" s="4">
        <v>19467.28</v>
      </c>
      <c r="F112" s="4">
        <v>93822.15</v>
      </c>
    </row>
    <row r="113" spans="1:6" x14ac:dyDescent="0.45">
      <c r="A113" s="2">
        <v>45835</v>
      </c>
      <c r="B113" s="4">
        <v>2781.82</v>
      </c>
      <c r="C113" s="4">
        <v>111079.99</v>
      </c>
      <c r="D113" s="3">
        <v>0</v>
      </c>
      <c r="E113" s="4">
        <v>19219.400000000001</v>
      </c>
      <c r="F113" s="4">
        <v>94642.41</v>
      </c>
    </row>
    <row r="114" spans="1:6" x14ac:dyDescent="0.45">
      <c r="A114" s="2">
        <v>45836</v>
      </c>
      <c r="B114" s="4">
        <v>2781.82</v>
      </c>
      <c r="C114" s="4">
        <v>113487.5</v>
      </c>
      <c r="D114" s="3">
        <v>0</v>
      </c>
      <c r="E114" s="4">
        <v>19469.8</v>
      </c>
      <c r="F114" s="4">
        <v>96799.52</v>
      </c>
    </row>
    <row r="115" spans="1:6" x14ac:dyDescent="0.45">
      <c r="A115" s="2">
        <v>45839</v>
      </c>
      <c r="B115" s="4">
        <v>2789.42</v>
      </c>
      <c r="C115" s="4">
        <v>112092.43</v>
      </c>
      <c r="D115" s="3">
        <v>0</v>
      </c>
      <c r="E115" s="4">
        <v>19571.400000000001</v>
      </c>
      <c r="F115" s="4">
        <v>95310.44</v>
      </c>
    </row>
    <row r="116" spans="1:6" x14ac:dyDescent="0.45">
      <c r="A116" s="2">
        <v>45840</v>
      </c>
      <c r="B116" s="4">
        <v>2789.42</v>
      </c>
      <c r="C116" s="4">
        <v>110361.8</v>
      </c>
      <c r="D116" s="3">
        <v>0</v>
      </c>
      <c r="E116" s="4">
        <v>19664</v>
      </c>
      <c r="F116" s="4">
        <v>93487.22</v>
      </c>
    </row>
    <row r="117" spans="1:6" x14ac:dyDescent="0.45">
      <c r="A117" s="2">
        <v>45841</v>
      </c>
      <c r="B117" s="4">
        <v>2789.94</v>
      </c>
      <c r="C117" s="4">
        <v>112068.4</v>
      </c>
      <c r="D117" s="3">
        <v>0</v>
      </c>
      <c r="E117" s="4">
        <v>19538.400000000001</v>
      </c>
      <c r="F117" s="4">
        <v>95319.94</v>
      </c>
    </row>
    <row r="118" spans="1:6" x14ac:dyDescent="0.45">
      <c r="A118" s="2">
        <v>45842</v>
      </c>
      <c r="B118" s="4">
        <v>2789.94</v>
      </c>
      <c r="C118" s="4">
        <v>113290.98</v>
      </c>
      <c r="D118" s="3">
        <v>0</v>
      </c>
      <c r="E118" s="4">
        <v>19688.79</v>
      </c>
      <c r="F118" s="4">
        <v>96392.13</v>
      </c>
    </row>
    <row r="119" spans="1:6" x14ac:dyDescent="0.45">
      <c r="A119" s="2">
        <v>45843</v>
      </c>
      <c r="B119" s="4">
        <v>2789.94</v>
      </c>
      <c r="C119" s="4">
        <v>113290.98</v>
      </c>
      <c r="D119" s="3">
        <v>0</v>
      </c>
      <c r="E119" s="4">
        <v>19688.79</v>
      </c>
      <c r="F119" s="4">
        <v>96392.13</v>
      </c>
    </row>
    <row r="120" spans="1:6" x14ac:dyDescent="0.45">
      <c r="A120" s="2">
        <v>45846</v>
      </c>
      <c r="B120" s="4">
        <v>2789.94</v>
      </c>
      <c r="C120" s="4">
        <v>111722.28</v>
      </c>
      <c r="D120" s="3">
        <v>0</v>
      </c>
      <c r="E120" s="4">
        <v>19886.8</v>
      </c>
      <c r="F120" s="4">
        <v>94625.41</v>
      </c>
    </row>
    <row r="121" spans="1:6" x14ac:dyDescent="0.45">
      <c r="A121" s="2">
        <v>45847</v>
      </c>
      <c r="B121" s="4">
        <v>2789.94</v>
      </c>
      <c r="C121" s="4">
        <v>112197.9</v>
      </c>
      <c r="D121" s="3">
        <v>0</v>
      </c>
      <c r="E121" s="4">
        <v>19434.57</v>
      </c>
      <c r="F121" s="4">
        <v>95553.27</v>
      </c>
    </row>
    <row r="122" spans="1:6" x14ac:dyDescent="0.45">
      <c r="A122" s="2">
        <v>45848</v>
      </c>
      <c r="B122" s="4">
        <v>2789.94</v>
      </c>
      <c r="C122" s="4">
        <v>113756.76</v>
      </c>
      <c r="D122" s="3">
        <v>0</v>
      </c>
      <c r="E122" s="4">
        <v>19379</v>
      </c>
      <c r="F122" s="4">
        <v>97167.7</v>
      </c>
    </row>
    <row r="123" spans="1:6" x14ac:dyDescent="0.45">
      <c r="A123" s="2">
        <v>45849</v>
      </c>
      <c r="B123" s="4">
        <v>2789.94</v>
      </c>
      <c r="C123" s="4">
        <v>114759</v>
      </c>
      <c r="D123" s="3">
        <v>0</v>
      </c>
      <c r="E123" s="4">
        <v>18989.080000000002</v>
      </c>
      <c r="F123" s="4">
        <v>98559.86</v>
      </c>
    </row>
    <row r="124" spans="1:6" x14ac:dyDescent="0.45">
      <c r="A124" s="2">
        <v>45850</v>
      </c>
      <c r="B124" s="4">
        <v>2789.94</v>
      </c>
      <c r="C124" s="4">
        <v>115241.84</v>
      </c>
      <c r="D124" s="3">
        <v>0</v>
      </c>
      <c r="E124" s="4">
        <v>18897.54</v>
      </c>
      <c r="F124" s="4">
        <v>99134.24</v>
      </c>
    </row>
    <row r="125" spans="1:6" x14ac:dyDescent="0.45">
      <c r="A125" s="2">
        <v>45853</v>
      </c>
      <c r="B125" s="4">
        <v>2789.94</v>
      </c>
      <c r="C125" s="4">
        <v>116272.74</v>
      </c>
      <c r="D125" s="3">
        <v>0</v>
      </c>
      <c r="E125" s="4">
        <v>19173.830000000002</v>
      </c>
      <c r="F125" s="4">
        <v>99888.85</v>
      </c>
    </row>
    <row r="126" spans="1:6" x14ac:dyDescent="0.45">
      <c r="A126" s="2">
        <v>45854</v>
      </c>
      <c r="B126" s="4">
        <v>2789.94</v>
      </c>
      <c r="C126" s="4">
        <v>115438.7</v>
      </c>
      <c r="D126" s="3">
        <v>0</v>
      </c>
      <c r="E126" s="4">
        <v>19096</v>
      </c>
      <c r="F126" s="4">
        <v>99132.64</v>
      </c>
    </row>
    <row r="127" spans="1:6" x14ac:dyDescent="0.45">
      <c r="A127" s="2">
        <v>45855</v>
      </c>
      <c r="B127" s="4">
        <v>2789.94</v>
      </c>
      <c r="C127" s="4">
        <v>116721.84</v>
      </c>
      <c r="D127" s="3">
        <v>0</v>
      </c>
      <c r="E127" s="4">
        <v>19047.11</v>
      </c>
      <c r="F127" s="4">
        <v>100464.67</v>
      </c>
    </row>
    <row r="128" spans="1:6" x14ac:dyDescent="0.45">
      <c r="A128" s="2">
        <v>45856</v>
      </c>
      <c r="B128" s="4">
        <v>2789.94</v>
      </c>
      <c r="C128" s="4">
        <v>116945</v>
      </c>
      <c r="D128" s="3">
        <v>0</v>
      </c>
      <c r="E128" s="4">
        <v>19034.599999999999</v>
      </c>
      <c r="F128" s="4">
        <v>100700.34</v>
      </c>
    </row>
    <row r="129" spans="1:6" x14ac:dyDescent="0.45">
      <c r="A129" s="2">
        <v>45857</v>
      </c>
      <c r="B129" s="4">
        <v>2789.94</v>
      </c>
      <c r="C129" s="4">
        <v>117569.12</v>
      </c>
      <c r="D129" s="3">
        <v>0</v>
      </c>
      <c r="E129" s="4">
        <v>19026.400000000001</v>
      </c>
      <c r="F129" s="4">
        <v>101332.66</v>
      </c>
    </row>
    <row r="130" spans="1:6" x14ac:dyDescent="0.45">
      <c r="A130" s="2">
        <v>45860</v>
      </c>
      <c r="B130" s="4">
        <v>2789.94</v>
      </c>
      <c r="C130" s="4">
        <v>117543.26</v>
      </c>
      <c r="D130" s="3">
        <v>0</v>
      </c>
      <c r="E130" s="4">
        <v>19157</v>
      </c>
      <c r="F130" s="4">
        <v>101176.2</v>
      </c>
    </row>
    <row r="131" spans="1:6" x14ac:dyDescent="0.45">
      <c r="A131" s="2">
        <v>45861</v>
      </c>
      <c r="B131" s="4">
        <v>2789.94</v>
      </c>
      <c r="C131" s="4">
        <v>117829.86</v>
      </c>
      <c r="D131" s="3">
        <v>0</v>
      </c>
      <c r="E131" s="4">
        <v>19191</v>
      </c>
      <c r="F131" s="4">
        <v>101428.8</v>
      </c>
    </row>
    <row r="132" spans="1:6" x14ac:dyDescent="0.45">
      <c r="A132" s="2">
        <v>45862</v>
      </c>
      <c r="B132" s="4">
        <v>2789.94</v>
      </c>
      <c r="C132" s="4">
        <v>119565.75999999999</v>
      </c>
      <c r="D132" s="3">
        <v>0</v>
      </c>
      <c r="E132" s="4">
        <v>19156</v>
      </c>
      <c r="F132" s="4">
        <v>103199.7</v>
      </c>
    </row>
    <row r="133" spans="1:6" x14ac:dyDescent="0.45">
      <c r="A133" s="2">
        <v>45863</v>
      </c>
      <c r="B133" s="4">
        <v>2789.94</v>
      </c>
      <c r="C133" s="4">
        <v>116304.48</v>
      </c>
      <c r="D133" s="3">
        <v>0</v>
      </c>
      <c r="E133" s="4">
        <v>19341.599999999999</v>
      </c>
      <c r="F133" s="4">
        <v>99752.82</v>
      </c>
    </row>
    <row r="134" spans="1:6" x14ac:dyDescent="0.45">
      <c r="A134" s="2">
        <v>45864</v>
      </c>
      <c r="B134" s="4">
        <v>2789.94</v>
      </c>
      <c r="C134" s="4">
        <v>117984.5</v>
      </c>
      <c r="D134" s="3">
        <v>0</v>
      </c>
      <c r="E134" s="4">
        <v>19514.14</v>
      </c>
      <c r="F134" s="4">
        <v>101260.3</v>
      </c>
    </row>
    <row r="135" spans="1:6" x14ac:dyDescent="0.45">
      <c r="A135" s="2">
        <v>45867</v>
      </c>
      <c r="B135" s="4">
        <v>2789.94</v>
      </c>
      <c r="C135" s="4">
        <v>119567.3</v>
      </c>
      <c r="D135" s="3">
        <v>0</v>
      </c>
      <c r="E135" s="4">
        <v>19544.599999999999</v>
      </c>
      <c r="F135" s="4">
        <v>102812.64</v>
      </c>
    </row>
    <row r="136" spans="1:6" x14ac:dyDescent="0.45">
      <c r="A136" s="2">
        <v>45868</v>
      </c>
      <c r="B136" s="4">
        <v>2789.94</v>
      </c>
      <c r="C136" s="4">
        <v>116641.02</v>
      </c>
      <c r="D136" s="3">
        <v>0</v>
      </c>
      <c r="E136" s="4">
        <v>19691.490000000002</v>
      </c>
      <c r="F136" s="4">
        <v>99739.46</v>
      </c>
    </row>
    <row r="137" spans="1:6" x14ac:dyDescent="0.45">
      <c r="A137" s="2">
        <v>45869</v>
      </c>
      <c r="B137" s="4">
        <v>2789.94</v>
      </c>
      <c r="C137" s="4">
        <v>116425.74</v>
      </c>
      <c r="D137" s="3">
        <v>0</v>
      </c>
      <c r="E137" s="4">
        <v>19552</v>
      </c>
      <c r="F137" s="4">
        <v>99663.679999999993</v>
      </c>
    </row>
    <row r="138" spans="1:6" x14ac:dyDescent="0.45">
      <c r="A138" s="2">
        <v>45870</v>
      </c>
      <c r="B138" s="4">
        <v>2789.94</v>
      </c>
      <c r="C138" s="4">
        <v>114125.94</v>
      </c>
      <c r="D138" s="3">
        <v>0</v>
      </c>
      <c r="E138" s="4">
        <v>19640.400000000001</v>
      </c>
      <c r="F138" s="4">
        <v>97275.48</v>
      </c>
    </row>
    <row r="139" spans="1:6" x14ac:dyDescent="0.45">
      <c r="A139" s="2">
        <v>45871</v>
      </c>
      <c r="B139" s="4">
        <v>2789.94</v>
      </c>
      <c r="C139" s="4">
        <v>113382.64</v>
      </c>
      <c r="D139" s="3">
        <v>0</v>
      </c>
      <c r="E139" s="4">
        <v>19719.599999999999</v>
      </c>
      <c r="F139" s="4">
        <v>96452.98</v>
      </c>
    </row>
    <row r="140" spans="1:6" x14ac:dyDescent="0.45">
      <c r="A140" s="2">
        <v>45874</v>
      </c>
      <c r="B140" s="4">
        <v>2789.94</v>
      </c>
      <c r="C140" s="4">
        <v>113646.7</v>
      </c>
      <c r="D140" s="3">
        <v>0</v>
      </c>
      <c r="E140" s="4">
        <v>19947.400000000001</v>
      </c>
      <c r="F140" s="4">
        <v>96489.24</v>
      </c>
    </row>
    <row r="141" spans="1:6" x14ac:dyDescent="0.45">
      <c r="A141" s="2">
        <v>45875</v>
      </c>
      <c r="B141" s="4">
        <v>2789.94</v>
      </c>
      <c r="C141" s="4">
        <v>114178.02</v>
      </c>
      <c r="D141" s="3">
        <v>0</v>
      </c>
      <c r="E141" s="4">
        <v>19890.400000000001</v>
      </c>
      <c r="F141" s="4">
        <v>97077.56</v>
      </c>
    </row>
    <row r="142" spans="1:6" x14ac:dyDescent="0.45">
      <c r="A142" s="2">
        <v>45876</v>
      </c>
      <c r="B142" s="4">
        <v>2789.94</v>
      </c>
      <c r="C142" s="4">
        <v>115343.54</v>
      </c>
      <c r="D142" s="3">
        <v>0</v>
      </c>
      <c r="E142" s="4">
        <v>20704</v>
      </c>
      <c r="F142" s="4">
        <v>97429.48</v>
      </c>
    </row>
    <row r="143" spans="1:6" x14ac:dyDescent="0.45">
      <c r="A143" s="2">
        <v>45877</v>
      </c>
      <c r="B143" s="4">
        <v>2789.94</v>
      </c>
      <c r="C143" s="4">
        <v>115991.34</v>
      </c>
      <c r="D143" s="3">
        <v>0</v>
      </c>
      <c r="E143" s="4">
        <v>20657</v>
      </c>
      <c r="F143" s="4">
        <v>98124.28</v>
      </c>
    </row>
    <row r="144" spans="1:6" x14ac:dyDescent="0.45">
      <c r="A144" s="2">
        <v>45878</v>
      </c>
      <c r="B144" s="4">
        <v>2789.94</v>
      </c>
      <c r="C144" s="4">
        <v>117376.2</v>
      </c>
      <c r="D144" s="3">
        <v>0</v>
      </c>
      <c r="E144" s="4">
        <v>20783.8</v>
      </c>
      <c r="F144" s="4">
        <v>99382.34</v>
      </c>
    </row>
    <row r="145" spans="1:6" x14ac:dyDescent="0.45">
      <c r="A145" s="2">
        <v>45881</v>
      </c>
      <c r="B145" s="4">
        <v>2789.94</v>
      </c>
      <c r="C145" s="4">
        <v>117981.87</v>
      </c>
      <c r="D145" s="3">
        <v>0</v>
      </c>
      <c r="E145" s="4">
        <v>20822.82</v>
      </c>
      <c r="F145" s="4">
        <v>99948.99</v>
      </c>
    </row>
    <row r="146" spans="1:6" x14ac:dyDescent="0.45">
      <c r="A146" s="2">
        <v>45882</v>
      </c>
      <c r="B146" s="4">
        <v>2789.94</v>
      </c>
      <c r="C146" s="4">
        <v>119879.22</v>
      </c>
      <c r="D146" s="3">
        <v>0</v>
      </c>
      <c r="E146" s="4">
        <v>20755.599999999999</v>
      </c>
      <c r="F146" s="4">
        <v>101913.56</v>
      </c>
    </row>
    <row r="147" spans="1:6" x14ac:dyDescent="0.45">
      <c r="A147" s="2">
        <v>45883</v>
      </c>
      <c r="B147" s="4">
        <v>2789.94</v>
      </c>
      <c r="C147" s="4">
        <v>120326.78</v>
      </c>
      <c r="D147" s="3">
        <v>0</v>
      </c>
      <c r="E147" s="4">
        <v>20235.560000000001</v>
      </c>
      <c r="F147" s="4">
        <v>102881.16</v>
      </c>
    </row>
    <row r="148" spans="1:6" x14ac:dyDescent="0.45">
      <c r="A148" s="2">
        <v>45884</v>
      </c>
      <c r="B148" s="4">
        <v>2789.94</v>
      </c>
      <c r="C148" s="4">
        <v>120150.04</v>
      </c>
      <c r="D148" s="3">
        <v>0</v>
      </c>
      <c r="E148" s="4">
        <v>20211.099999999999</v>
      </c>
      <c r="F148" s="4">
        <v>102728.88</v>
      </c>
    </row>
    <row r="149" spans="1:6" x14ac:dyDescent="0.45">
      <c r="A149" s="2">
        <v>45885</v>
      </c>
      <c r="B149" s="4">
        <v>2789.94</v>
      </c>
      <c r="C149" s="4">
        <v>119918.39999999999</v>
      </c>
      <c r="D149" s="3">
        <v>0</v>
      </c>
      <c r="E149" s="4">
        <v>20039.2</v>
      </c>
      <c r="F149" s="4">
        <v>102669.14</v>
      </c>
    </row>
    <row r="150" spans="1:6" x14ac:dyDescent="0.45">
      <c r="A150" s="2">
        <v>45888</v>
      </c>
      <c r="B150" s="4">
        <v>2789.94</v>
      </c>
      <c r="C150" s="4">
        <v>119993.22</v>
      </c>
      <c r="D150" s="3">
        <v>0</v>
      </c>
      <c r="E150" s="4">
        <v>20180</v>
      </c>
      <c r="F150" s="4">
        <v>102603.16</v>
      </c>
    </row>
    <row r="151" spans="1:6" x14ac:dyDescent="0.45">
      <c r="A151" s="2">
        <v>45889</v>
      </c>
      <c r="B151" s="4">
        <v>2789.94</v>
      </c>
      <c r="C151" s="4">
        <v>117782.78</v>
      </c>
      <c r="D151" s="3">
        <v>0</v>
      </c>
      <c r="E151" s="4">
        <v>20293.8</v>
      </c>
      <c r="F151" s="4">
        <v>100278.92</v>
      </c>
    </row>
    <row r="152" spans="1:6" x14ac:dyDescent="0.45">
      <c r="A152" s="2">
        <v>45890</v>
      </c>
      <c r="B152" s="4">
        <v>2789.94</v>
      </c>
      <c r="C152" s="4">
        <v>117440.5</v>
      </c>
      <c r="D152" s="3">
        <v>0</v>
      </c>
      <c r="E152" s="4">
        <v>20550.8</v>
      </c>
      <c r="F152" s="4">
        <v>99679.64</v>
      </c>
    </row>
    <row r="153" spans="1:6" x14ac:dyDescent="0.45">
      <c r="A153" s="2">
        <v>45891</v>
      </c>
      <c r="B153" s="4">
        <v>2789.94</v>
      </c>
      <c r="C153" s="4">
        <v>116867.26</v>
      </c>
      <c r="D153" s="3">
        <v>0</v>
      </c>
      <c r="E153" s="4">
        <v>19626.2</v>
      </c>
      <c r="F153" s="4">
        <v>100031</v>
      </c>
    </row>
    <row r="154" spans="1:6" x14ac:dyDescent="0.45">
      <c r="A154" s="2">
        <v>45892</v>
      </c>
      <c r="B154" s="4">
        <v>2789.94</v>
      </c>
      <c r="C154" s="4">
        <v>120235.38</v>
      </c>
      <c r="D154" s="3">
        <v>0</v>
      </c>
      <c r="E154" s="4">
        <v>19403.599999999999</v>
      </c>
      <c r="F154" s="4">
        <v>103621.72</v>
      </c>
    </row>
    <row r="155" spans="1:6" x14ac:dyDescent="0.45">
      <c r="A155" s="2">
        <v>45895</v>
      </c>
      <c r="B155" s="4">
        <v>2789.94</v>
      </c>
      <c r="C155" s="4">
        <v>120063.02</v>
      </c>
      <c r="D155" s="3">
        <v>0</v>
      </c>
      <c r="E155" s="4">
        <v>19250</v>
      </c>
      <c r="F155" s="4">
        <v>103602.96</v>
      </c>
    </row>
    <row r="156" spans="1:6" x14ac:dyDescent="0.45">
      <c r="A156" s="2">
        <v>45896</v>
      </c>
      <c r="B156" s="4">
        <v>2789.94</v>
      </c>
      <c r="C156" s="4">
        <v>122670.24</v>
      </c>
      <c r="D156" s="3">
        <v>0</v>
      </c>
      <c r="E156" s="4">
        <v>19246.400000000001</v>
      </c>
      <c r="F156" s="4">
        <v>106213.78</v>
      </c>
    </row>
    <row r="157" spans="1:6" x14ac:dyDescent="0.45">
      <c r="A157" s="2">
        <v>45897</v>
      </c>
      <c r="B157" s="4">
        <v>2789.94</v>
      </c>
      <c r="C157" s="4">
        <v>122710.2</v>
      </c>
      <c r="D157" s="3">
        <v>0</v>
      </c>
      <c r="E157" s="4">
        <v>19256.2</v>
      </c>
      <c r="F157" s="4">
        <v>106243.94</v>
      </c>
    </row>
    <row r="158" spans="1:6" x14ac:dyDescent="0.45">
      <c r="A158" s="2">
        <v>45898</v>
      </c>
      <c r="B158" s="4">
        <v>2789.94</v>
      </c>
      <c r="C158" s="4">
        <v>122747.14</v>
      </c>
      <c r="D158" s="3">
        <v>0</v>
      </c>
      <c r="E158" s="4">
        <v>19266.599999999999</v>
      </c>
      <c r="F158" s="4">
        <v>106270.48</v>
      </c>
    </row>
    <row r="159" spans="1:6" x14ac:dyDescent="0.45">
      <c r="A159" s="2">
        <v>45899</v>
      </c>
      <c r="B159" s="4">
        <v>2789.94</v>
      </c>
      <c r="C159" s="4">
        <v>121024.56</v>
      </c>
      <c r="D159" s="3">
        <v>0</v>
      </c>
      <c r="E159" s="4">
        <v>19439.400000000001</v>
      </c>
      <c r="F159" s="4">
        <v>104375.1</v>
      </c>
    </row>
    <row r="160" spans="1:6" x14ac:dyDescent="0.45">
      <c r="A160" s="2">
        <v>45902</v>
      </c>
      <c r="B160" s="4">
        <v>2742.94</v>
      </c>
      <c r="C160" s="4">
        <v>121024.56</v>
      </c>
      <c r="D160" s="3">
        <v>0</v>
      </c>
      <c r="E160" s="4">
        <v>19439.400000000001</v>
      </c>
      <c r="F160" s="4">
        <v>104328.1</v>
      </c>
    </row>
    <row r="161" spans="1:6" x14ac:dyDescent="0.45">
      <c r="A161" s="2">
        <v>45903</v>
      </c>
      <c r="B161" s="4">
        <v>2742.94</v>
      </c>
      <c r="C161" s="4">
        <v>120701.06</v>
      </c>
      <c r="D161" s="3">
        <v>0</v>
      </c>
      <c r="E161" s="4">
        <v>19611.7</v>
      </c>
      <c r="F161" s="4">
        <v>103832.3</v>
      </c>
    </row>
    <row r="162" spans="1:6" x14ac:dyDescent="0.45">
      <c r="A162" s="2">
        <v>45904</v>
      </c>
      <c r="B162" s="4">
        <v>2742.94</v>
      </c>
      <c r="C162" s="4">
        <v>120195.44</v>
      </c>
      <c r="D162" s="3">
        <v>0</v>
      </c>
      <c r="E162" s="4">
        <v>19932</v>
      </c>
      <c r="F162" s="4">
        <v>103006.38</v>
      </c>
    </row>
    <row r="163" spans="1:6" x14ac:dyDescent="0.45">
      <c r="A163" s="2">
        <v>45905</v>
      </c>
      <c r="B163" s="4">
        <v>2742.94</v>
      </c>
      <c r="C163" s="4">
        <v>120679.42</v>
      </c>
      <c r="D163" s="3">
        <v>0</v>
      </c>
      <c r="E163" s="4">
        <v>20229</v>
      </c>
      <c r="F163" s="4">
        <v>103193.36</v>
      </c>
    </row>
    <row r="164" spans="1:6" x14ac:dyDescent="0.45">
      <c r="A164" s="2">
        <v>45906</v>
      </c>
      <c r="B164" s="4">
        <v>2742.94</v>
      </c>
      <c r="C164" s="4">
        <v>121151.54</v>
      </c>
      <c r="D164" s="3">
        <v>0</v>
      </c>
      <c r="E164" s="4">
        <v>20142.7</v>
      </c>
      <c r="F164" s="4">
        <v>103751.78</v>
      </c>
    </row>
    <row r="165" spans="1:6" x14ac:dyDescent="0.45">
      <c r="A165" s="2">
        <v>45909</v>
      </c>
      <c r="B165" s="4">
        <v>2742.94</v>
      </c>
      <c r="C165" s="4">
        <v>120921.52</v>
      </c>
      <c r="D165" s="3">
        <v>0</v>
      </c>
      <c r="E165" s="4">
        <v>20497.2</v>
      </c>
      <c r="F165" s="4">
        <v>103167.26</v>
      </c>
    </row>
    <row r="166" spans="1:6" x14ac:dyDescent="0.45">
      <c r="A166" s="2">
        <v>45910</v>
      </c>
      <c r="B166" s="4">
        <v>2742.94</v>
      </c>
      <c r="C166" s="4">
        <v>120675.62</v>
      </c>
      <c r="D166" s="3">
        <v>0</v>
      </c>
      <c r="E166" s="4">
        <v>20500.400000000001</v>
      </c>
      <c r="F166" s="4">
        <v>102918.16</v>
      </c>
    </row>
    <row r="167" spans="1:6" x14ac:dyDescent="0.45">
      <c r="A167" s="2">
        <v>45911</v>
      </c>
      <c r="B167" s="4">
        <v>2742.94</v>
      </c>
      <c r="C167" s="4">
        <v>120505.76</v>
      </c>
      <c r="D167" s="3">
        <v>0</v>
      </c>
      <c r="E167" s="4">
        <v>20124.400000000001</v>
      </c>
      <c r="F167" s="4">
        <v>103124.3</v>
      </c>
    </row>
    <row r="168" spans="1:6" x14ac:dyDescent="0.45">
      <c r="A168" s="2">
        <v>45912</v>
      </c>
      <c r="B168" s="4">
        <v>2742.94</v>
      </c>
      <c r="C168" s="4">
        <v>121564.14</v>
      </c>
      <c r="D168" s="3">
        <v>0</v>
      </c>
      <c r="E168" s="4">
        <v>20572.400000000001</v>
      </c>
      <c r="F168" s="4">
        <v>103734.68</v>
      </c>
    </row>
    <row r="169" spans="1:6" x14ac:dyDescent="0.45">
      <c r="A169" s="2">
        <v>45913</v>
      </c>
      <c r="B169" s="4">
        <v>2742.94</v>
      </c>
      <c r="C169" s="4">
        <v>123363.44</v>
      </c>
      <c r="D169" s="3">
        <v>0</v>
      </c>
      <c r="E169" s="4">
        <v>20740.599999999999</v>
      </c>
      <c r="F169" s="4">
        <v>105365.78</v>
      </c>
    </row>
    <row r="170" spans="1:6" x14ac:dyDescent="0.45">
      <c r="A170" s="2">
        <v>45916</v>
      </c>
      <c r="B170" s="4">
        <v>2742.94</v>
      </c>
      <c r="C170" s="4">
        <v>124707.8</v>
      </c>
      <c r="D170" s="3">
        <v>0</v>
      </c>
      <c r="E170" s="4">
        <v>20781.400000000001</v>
      </c>
      <c r="F170" s="4">
        <v>106669.34</v>
      </c>
    </row>
    <row r="171" spans="1:6" x14ac:dyDescent="0.45">
      <c r="A171" s="2">
        <v>45917</v>
      </c>
      <c r="B171" s="4">
        <v>2742.94</v>
      </c>
      <c r="C171" s="4">
        <v>125447.06</v>
      </c>
      <c r="D171" s="3">
        <v>0</v>
      </c>
      <c r="E171" s="4">
        <v>20735</v>
      </c>
      <c r="F171" s="4">
        <v>107455</v>
      </c>
    </row>
    <row r="172" spans="1:6" x14ac:dyDescent="0.45">
      <c r="A172" s="2">
        <v>45918</v>
      </c>
      <c r="B172" s="4">
        <v>-15880.81</v>
      </c>
      <c r="C172" s="4">
        <v>123011.18</v>
      </c>
      <c r="D172" s="3">
        <v>0</v>
      </c>
      <c r="E172" s="3">
        <v>0</v>
      </c>
      <c r="F172" s="4">
        <v>107130.37</v>
      </c>
    </row>
    <row r="173" spans="1:6" x14ac:dyDescent="0.45">
      <c r="A173" s="2">
        <v>45919</v>
      </c>
      <c r="B173" s="4">
        <v>-15880.81</v>
      </c>
      <c r="C173" s="4">
        <v>122562.48</v>
      </c>
      <c r="D173" s="3">
        <v>0</v>
      </c>
      <c r="E173" s="3">
        <v>0</v>
      </c>
      <c r="F173" s="4">
        <v>106681.67</v>
      </c>
    </row>
    <row r="174" spans="1:6" x14ac:dyDescent="0.45">
      <c r="A174" s="2">
        <v>45920</v>
      </c>
      <c r="B174" s="4">
        <v>-15880.81</v>
      </c>
      <c r="C174" s="4">
        <v>123588.54</v>
      </c>
      <c r="D174" s="3">
        <v>0</v>
      </c>
      <c r="E174" s="3">
        <v>0</v>
      </c>
      <c r="F174" s="4">
        <v>107707.73</v>
      </c>
    </row>
    <row r="175" spans="1:6" x14ac:dyDescent="0.45">
      <c r="A175" s="2">
        <v>45923</v>
      </c>
      <c r="B175" s="4">
        <v>-15880.81</v>
      </c>
      <c r="C175" s="4">
        <v>124065.62</v>
      </c>
      <c r="D175" s="3">
        <v>0</v>
      </c>
      <c r="E175" s="3">
        <v>0</v>
      </c>
      <c r="F175" s="4">
        <v>108184.81</v>
      </c>
    </row>
    <row r="176" spans="1:6" x14ac:dyDescent="0.45">
      <c r="A176" s="2">
        <v>45924</v>
      </c>
      <c r="B176" s="4">
        <v>-15880.81</v>
      </c>
      <c r="C176" s="4">
        <v>123882.16</v>
      </c>
      <c r="D176" s="3">
        <v>0</v>
      </c>
      <c r="E176" s="3">
        <v>0</v>
      </c>
      <c r="F176" s="4">
        <v>108001.35</v>
      </c>
    </row>
    <row r="177" spans="1:6" x14ac:dyDescent="0.45">
      <c r="A177" s="2">
        <v>45925</v>
      </c>
      <c r="B177" s="4">
        <v>-15880.81</v>
      </c>
      <c r="C177" s="4">
        <v>125271.74</v>
      </c>
      <c r="D177" s="3">
        <v>0</v>
      </c>
      <c r="E177" s="3">
        <v>0</v>
      </c>
      <c r="F177" s="4">
        <v>109390.93</v>
      </c>
    </row>
    <row r="178" spans="1:6" x14ac:dyDescent="0.45">
      <c r="A178" s="2">
        <v>45926</v>
      </c>
      <c r="B178" s="4">
        <v>-15880.81</v>
      </c>
      <c r="C178" s="4">
        <v>122948.68</v>
      </c>
      <c r="D178" s="3">
        <v>0</v>
      </c>
      <c r="E178" s="3">
        <v>0</v>
      </c>
      <c r="F178" s="4">
        <v>107067.87</v>
      </c>
    </row>
    <row r="179" spans="1:6" x14ac:dyDescent="0.45">
      <c r="A179" s="2">
        <v>45927</v>
      </c>
      <c r="B179" s="4">
        <v>-15880.81</v>
      </c>
      <c r="C179" s="4">
        <v>126540.18</v>
      </c>
      <c r="D179" s="3">
        <v>0</v>
      </c>
      <c r="E179" s="3">
        <v>0</v>
      </c>
      <c r="F179" s="4">
        <v>110659.37</v>
      </c>
    </row>
    <row r="180" spans="1:6" x14ac:dyDescent="0.45">
      <c r="A180" s="2">
        <v>45930</v>
      </c>
      <c r="B180" s="4">
        <v>-15865.61</v>
      </c>
      <c r="C180" s="4">
        <v>126262.3</v>
      </c>
      <c r="D180" s="3">
        <v>0</v>
      </c>
      <c r="E180" s="3">
        <v>0</v>
      </c>
      <c r="F180" s="4">
        <v>110396.69</v>
      </c>
    </row>
    <row r="181" spans="1:6" x14ac:dyDescent="0.45">
      <c r="A181" s="2">
        <v>45931</v>
      </c>
      <c r="B181" s="4">
        <v>-15865.61</v>
      </c>
      <c r="C181" s="4">
        <v>126516.36</v>
      </c>
      <c r="D181" s="3">
        <v>0</v>
      </c>
      <c r="E181" s="3">
        <v>0</v>
      </c>
      <c r="F181" s="4">
        <v>110650.75</v>
      </c>
    </row>
    <row r="182" spans="1:6" x14ac:dyDescent="0.45">
      <c r="A182" s="2">
        <v>45932</v>
      </c>
      <c r="B182" s="4">
        <v>-15865.09</v>
      </c>
      <c r="C182" s="4">
        <v>127607.67999999999</v>
      </c>
      <c r="D182" s="3">
        <v>0</v>
      </c>
      <c r="E182" s="3">
        <v>0</v>
      </c>
      <c r="F182" s="4">
        <v>111742.59</v>
      </c>
    </row>
    <row r="183" spans="1:6" x14ac:dyDescent="0.45">
      <c r="A183" s="2">
        <v>45933</v>
      </c>
      <c r="B183" s="4">
        <v>-15865.09</v>
      </c>
      <c r="C183" s="4">
        <v>125664.28</v>
      </c>
      <c r="D183" s="3">
        <v>0</v>
      </c>
      <c r="E183" s="3">
        <v>0</v>
      </c>
      <c r="F183" s="4">
        <v>109799.19</v>
      </c>
    </row>
    <row r="184" spans="1:6" x14ac:dyDescent="0.45">
      <c r="A184" s="2">
        <v>45934</v>
      </c>
      <c r="B184" s="4">
        <v>-15865.09</v>
      </c>
      <c r="C184" s="4">
        <v>124883.74</v>
      </c>
      <c r="D184" s="3">
        <v>0</v>
      </c>
      <c r="E184" s="3">
        <v>0</v>
      </c>
      <c r="F184" s="4">
        <v>109018.65</v>
      </c>
    </row>
    <row r="185" spans="1:6" x14ac:dyDescent="0.45">
      <c r="A185" s="2">
        <v>45937</v>
      </c>
      <c r="B185" s="4">
        <v>-15865.09</v>
      </c>
      <c r="C185" s="4">
        <v>127883.08</v>
      </c>
      <c r="D185" s="3">
        <v>0</v>
      </c>
      <c r="E185" s="3">
        <v>0</v>
      </c>
      <c r="F185" s="4">
        <v>112017.99</v>
      </c>
    </row>
    <row r="186" spans="1:6" x14ac:dyDescent="0.45">
      <c r="A186" s="2">
        <v>45938</v>
      </c>
      <c r="B186" s="4">
        <v>-15865.09</v>
      </c>
      <c r="C186" s="4">
        <v>126369.28</v>
      </c>
      <c r="D186" s="3">
        <v>0</v>
      </c>
      <c r="E186" s="3">
        <v>0</v>
      </c>
      <c r="F186" s="4">
        <v>110504.19</v>
      </c>
    </row>
    <row r="187" spans="1:6" x14ac:dyDescent="0.45">
      <c r="A187" s="2">
        <v>45939</v>
      </c>
      <c r="B187" s="4">
        <v>-15865.09</v>
      </c>
      <c r="C187" s="4">
        <v>127641.72</v>
      </c>
      <c r="D187" s="3">
        <v>0</v>
      </c>
      <c r="E187" s="3">
        <v>0</v>
      </c>
      <c r="F187" s="4">
        <v>111776.63</v>
      </c>
    </row>
    <row r="188" spans="1:6" x14ac:dyDescent="0.45">
      <c r="A188" s="2">
        <v>45940</v>
      </c>
      <c r="B188" s="4">
        <v>-15865.09</v>
      </c>
      <c r="C188" s="4">
        <v>125334.04</v>
      </c>
      <c r="D188" s="3">
        <v>0</v>
      </c>
      <c r="E188" s="3">
        <v>0</v>
      </c>
      <c r="F188" s="4">
        <v>109468.95</v>
      </c>
    </row>
    <row r="189" spans="1:6" x14ac:dyDescent="0.45">
      <c r="A189" s="2">
        <v>45941</v>
      </c>
      <c r="B189" s="4">
        <v>-60722.97</v>
      </c>
      <c r="C189" s="4">
        <v>165391.79</v>
      </c>
      <c r="D189" s="3">
        <v>0</v>
      </c>
      <c r="E189" s="3">
        <v>0</v>
      </c>
      <c r="F189" s="4">
        <v>104668.82</v>
      </c>
    </row>
    <row r="190" spans="1:6" x14ac:dyDescent="0.45">
      <c r="A190" s="2">
        <v>45944</v>
      </c>
      <c r="B190" s="4">
        <v>-60722.97</v>
      </c>
      <c r="C190" s="4">
        <v>168291.34</v>
      </c>
      <c r="D190" s="3">
        <v>0</v>
      </c>
      <c r="E190" s="3">
        <v>0</v>
      </c>
      <c r="F190" s="4">
        <v>107568.37</v>
      </c>
    </row>
    <row r="191" spans="1:6" x14ac:dyDescent="0.45">
      <c r="A191" s="2">
        <v>45945</v>
      </c>
      <c r="B191" s="4">
        <v>-60722.97</v>
      </c>
      <c r="C191" s="4">
        <v>166798.01</v>
      </c>
      <c r="D191" s="3">
        <v>0</v>
      </c>
      <c r="E191" s="3">
        <v>0</v>
      </c>
      <c r="F191" s="4">
        <v>106075.04</v>
      </c>
    </row>
    <row r="192" spans="1:6" x14ac:dyDescent="0.45">
      <c r="A192" s="2">
        <v>45946</v>
      </c>
      <c r="B192" s="4">
        <v>-60722.97</v>
      </c>
      <c r="C192" s="4">
        <v>168118.07</v>
      </c>
      <c r="D192" s="3">
        <v>0</v>
      </c>
      <c r="E192" s="3">
        <v>0</v>
      </c>
      <c r="F192" s="4">
        <v>107395.1</v>
      </c>
    </row>
    <row r="193" spans="1:6" x14ac:dyDescent="0.45">
      <c r="A193" s="2">
        <v>45947</v>
      </c>
      <c r="B193" s="4">
        <v>-60722.97</v>
      </c>
      <c r="C193" s="4">
        <v>166331.35999999999</v>
      </c>
      <c r="D193" s="3">
        <v>0</v>
      </c>
      <c r="E193" s="3">
        <v>0</v>
      </c>
      <c r="F193" s="4">
        <v>105608.39</v>
      </c>
    </row>
    <row r="194" spans="1:6" x14ac:dyDescent="0.45">
      <c r="A194" s="2">
        <v>45948</v>
      </c>
      <c r="B194" s="4">
        <v>-60722.97</v>
      </c>
      <c r="C194" s="4">
        <v>167003.03</v>
      </c>
      <c r="D194" s="3">
        <v>0</v>
      </c>
      <c r="E194" s="3">
        <v>0</v>
      </c>
      <c r="F194" s="4">
        <v>106280.06</v>
      </c>
    </row>
    <row r="195" spans="1:6" x14ac:dyDescent="0.45">
      <c r="A195" s="2">
        <v>45951</v>
      </c>
      <c r="B195" s="4">
        <v>-60722.97</v>
      </c>
      <c r="C195" s="4">
        <v>168919.56</v>
      </c>
      <c r="D195" s="3">
        <v>0</v>
      </c>
      <c r="E195" s="3">
        <v>0</v>
      </c>
      <c r="F195" s="4">
        <v>108196.59</v>
      </c>
    </row>
    <row r="196" spans="1:6" x14ac:dyDescent="0.45">
      <c r="A196" s="2">
        <v>45952</v>
      </c>
      <c r="B196" s="4">
        <v>-60722.97</v>
      </c>
      <c r="C196" s="4">
        <v>167797.23</v>
      </c>
      <c r="D196" s="3">
        <v>0</v>
      </c>
      <c r="E196" s="3">
        <v>0</v>
      </c>
      <c r="F196" s="4">
        <v>107074.26</v>
      </c>
    </row>
    <row r="197" spans="1:6" x14ac:dyDescent="0.45">
      <c r="A197" s="2">
        <v>45953</v>
      </c>
      <c r="B197" s="4">
        <v>-60722.97</v>
      </c>
      <c r="C197" s="4">
        <v>167978.25</v>
      </c>
      <c r="D197" s="3">
        <v>0</v>
      </c>
      <c r="E197" s="3">
        <v>0</v>
      </c>
      <c r="F197" s="4">
        <v>107255.28</v>
      </c>
    </row>
    <row r="198" spans="1:6" x14ac:dyDescent="0.45">
      <c r="A198" s="2">
        <v>45954</v>
      </c>
      <c r="B198" s="4">
        <v>-60722.97</v>
      </c>
      <c r="C198" s="4">
        <v>169684.44</v>
      </c>
      <c r="D198" s="3">
        <v>0</v>
      </c>
      <c r="E198" s="3">
        <v>0</v>
      </c>
      <c r="F198" s="4">
        <v>108961.47</v>
      </c>
    </row>
    <row r="199" spans="1:6" x14ac:dyDescent="0.45">
      <c r="A199" s="2">
        <v>45955</v>
      </c>
      <c r="B199" s="4">
        <v>-60722.97</v>
      </c>
      <c r="C199" s="4">
        <v>169418.37</v>
      </c>
      <c r="D199" s="3">
        <v>0</v>
      </c>
      <c r="E199" s="3">
        <v>0</v>
      </c>
      <c r="F199" s="4">
        <v>108695.4</v>
      </c>
    </row>
    <row r="200" spans="1:6" x14ac:dyDescent="0.45">
      <c r="A200" s="2">
        <v>45958</v>
      </c>
      <c r="B200" s="4">
        <v>-60722.97</v>
      </c>
      <c r="C200" s="4">
        <v>171752.91</v>
      </c>
      <c r="D200" s="3">
        <v>0</v>
      </c>
      <c r="E200" s="3">
        <v>0</v>
      </c>
      <c r="F200" s="4">
        <v>111029.94</v>
      </c>
    </row>
    <row r="201" spans="1:6" x14ac:dyDescent="0.45">
      <c r="A201" s="2">
        <v>45959</v>
      </c>
      <c r="B201" s="4">
        <v>-60722.97</v>
      </c>
      <c r="C201" s="4">
        <v>172460.86</v>
      </c>
      <c r="D201" s="3">
        <v>0</v>
      </c>
      <c r="E201" s="3">
        <v>0</v>
      </c>
      <c r="F201" s="4">
        <v>111737.89</v>
      </c>
    </row>
    <row r="202" spans="1:6" x14ac:dyDescent="0.45">
      <c r="A202" s="2">
        <v>45960</v>
      </c>
      <c r="B202" s="4">
        <v>-60722.97</v>
      </c>
      <c r="C202" s="4">
        <v>170270.17</v>
      </c>
      <c r="D202" s="3">
        <v>0</v>
      </c>
      <c r="E202" s="3">
        <v>0</v>
      </c>
      <c r="F202" s="4">
        <v>109547.2</v>
      </c>
    </row>
    <row r="203" spans="1:6" x14ac:dyDescent="0.45">
      <c r="A203" s="2">
        <v>45961</v>
      </c>
      <c r="B203" s="4">
        <v>-60722.97</v>
      </c>
      <c r="C203" s="4">
        <v>167016.38</v>
      </c>
      <c r="D203" s="3">
        <v>0</v>
      </c>
      <c r="E203" s="3">
        <v>0</v>
      </c>
      <c r="F203" s="4">
        <v>106293.41</v>
      </c>
    </row>
    <row r="204" spans="1:6" x14ac:dyDescent="0.45">
      <c r="A204" s="2">
        <v>45962</v>
      </c>
      <c r="B204" s="4">
        <v>-60722.97</v>
      </c>
      <c r="C204" s="4">
        <v>169766.06</v>
      </c>
      <c r="D204" s="3">
        <v>0</v>
      </c>
      <c r="E204" s="3">
        <v>0</v>
      </c>
      <c r="F204" s="4">
        <v>109043.09</v>
      </c>
    </row>
    <row r="205" spans="1:6" x14ac:dyDescent="0.45">
      <c r="A205" s="2">
        <v>45965</v>
      </c>
      <c r="B205" s="4">
        <v>-60722.97</v>
      </c>
      <c r="C205" s="4">
        <v>173559.05</v>
      </c>
      <c r="D205" s="3">
        <v>0</v>
      </c>
      <c r="E205" s="3">
        <v>0</v>
      </c>
      <c r="F205" s="4">
        <v>112836.08</v>
      </c>
    </row>
    <row r="206" spans="1:6" x14ac:dyDescent="0.45">
      <c r="A206" s="2">
        <v>45966</v>
      </c>
      <c r="B206" s="4">
        <v>-60722.97</v>
      </c>
      <c r="C206" s="4">
        <v>170561.46</v>
      </c>
      <c r="D206" s="3">
        <v>0</v>
      </c>
      <c r="E206" s="3">
        <v>0</v>
      </c>
      <c r="F206" s="4">
        <v>109838.49</v>
      </c>
    </row>
    <row r="207" spans="1:6" x14ac:dyDescent="0.45">
      <c r="A207" s="2">
        <v>45967</v>
      </c>
      <c r="B207" s="4">
        <v>-60722.97</v>
      </c>
      <c r="C207" s="4">
        <v>173133.15</v>
      </c>
      <c r="D207" s="3">
        <v>0</v>
      </c>
      <c r="E207" s="3">
        <v>0</v>
      </c>
      <c r="F207" s="4">
        <v>112410.18</v>
      </c>
    </row>
    <row r="208" spans="1:6" x14ac:dyDescent="0.45">
      <c r="A208" s="2">
        <v>45968</v>
      </c>
      <c r="B208" s="4">
        <v>-60722.97</v>
      </c>
      <c r="C208" s="4">
        <v>171632.98</v>
      </c>
      <c r="D208" s="3">
        <v>0</v>
      </c>
      <c r="E208" s="3">
        <v>0</v>
      </c>
      <c r="F208" s="4">
        <v>110910.01</v>
      </c>
    </row>
    <row r="209" spans="1:6" x14ac:dyDescent="0.45">
      <c r="A209" s="2">
        <v>45969</v>
      </c>
      <c r="B209" s="4">
        <v>41604.17</v>
      </c>
      <c r="C209" s="4">
        <v>108279.5</v>
      </c>
      <c r="D209" s="3">
        <v>0</v>
      </c>
      <c r="E209" s="4">
        <v>42309.8</v>
      </c>
      <c r="F209" s="4">
        <v>107573.87</v>
      </c>
    </row>
    <row r="210" spans="1:6" x14ac:dyDescent="0.45">
      <c r="A210" s="2">
        <v>45972</v>
      </c>
      <c r="B210" s="4">
        <v>41604.17</v>
      </c>
      <c r="C210" s="4">
        <v>108037.45</v>
      </c>
      <c r="D210" s="3">
        <v>0</v>
      </c>
      <c r="E210" s="4">
        <v>44314.559999999998</v>
      </c>
      <c r="F210" s="4">
        <v>105327.06</v>
      </c>
    </row>
    <row r="211" spans="1:6" x14ac:dyDescent="0.45">
      <c r="A211" s="2">
        <v>45973</v>
      </c>
      <c r="B211" s="4">
        <v>41604.17</v>
      </c>
      <c r="C211" s="4">
        <v>106885.1</v>
      </c>
      <c r="D211" s="3">
        <v>0</v>
      </c>
      <c r="E211" s="4">
        <v>43822.16</v>
      </c>
      <c r="F211" s="4">
        <v>104667.11</v>
      </c>
    </row>
    <row r="212" spans="1:6" x14ac:dyDescent="0.45">
      <c r="A212" s="2">
        <v>45974</v>
      </c>
      <c r="B212" s="4">
        <v>41604.17</v>
      </c>
      <c r="C212" s="4">
        <v>106541.55</v>
      </c>
      <c r="D212" s="3">
        <v>0</v>
      </c>
      <c r="E212" s="4">
        <v>43524.12</v>
      </c>
      <c r="F212" s="4">
        <v>104621.6</v>
      </c>
    </row>
    <row r="213" spans="1:6" x14ac:dyDescent="0.45">
      <c r="A213" s="2">
        <v>45975</v>
      </c>
      <c r="B213" s="4">
        <v>41604.17</v>
      </c>
      <c r="C213" s="4">
        <v>107385.1</v>
      </c>
      <c r="D213" s="3">
        <v>0</v>
      </c>
      <c r="E213" s="4">
        <v>42132.08</v>
      </c>
      <c r="F213" s="4">
        <v>106857.19</v>
      </c>
    </row>
    <row r="214" spans="1:6" x14ac:dyDescent="0.45">
      <c r="A214" s="2">
        <v>45976</v>
      </c>
      <c r="B214" s="4">
        <v>41604.17</v>
      </c>
      <c r="C214" s="4">
        <v>105713.8</v>
      </c>
      <c r="D214" s="3">
        <v>0</v>
      </c>
      <c r="E214" s="4">
        <v>42283.32</v>
      </c>
      <c r="F214" s="4">
        <v>105034.65</v>
      </c>
    </row>
    <row r="215" spans="1:6" x14ac:dyDescent="0.45">
      <c r="A215" s="2">
        <v>45979</v>
      </c>
      <c r="B215" s="4">
        <v>41604.17</v>
      </c>
      <c r="C215" s="4">
        <v>105858.95</v>
      </c>
      <c r="D215" s="3">
        <v>0</v>
      </c>
      <c r="E215" s="4">
        <v>42650.400000000001</v>
      </c>
      <c r="F215" s="4">
        <v>104812.72</v>
      </c>
    </row>
    <row r="216" spans="1:6" x14ac:dyDescent="0.45">
      <c r="A216" s="2">
        <v>45980</v>
      </c>
      <c r="B216" s="4">
        <v>41604.17</v>
      </c>
      <c r="C216" s="4">
        <v>106007.1</v>
      </c>
      <c r="D216" s="3">
        <v>0</v>
      </c>
      <c r="E216" s="4">
        <v>42072.639999999999</v>
      </c>
      <c r="F216" s="4">
        <v>105538.63</v>
      </c>
    </row>
    <row r="217" spans="1:6" x14ac:dyDescent="0.45">
      <c r="A217" s="2">
        <v>45981</v>
      </c>
      <c r="B217" s="4">
        <v>41604.17</v>
      </c>
      <c r="C217" s="4">
        <v>104898.45</v>
      </c>
      <c r="D217" s="3">
        <v>0</v>
      </c>
      <c r="E217" s="4">
        <v>43263.16</v>
      </c>
      <c r="F217" s="4">
        <v>103239.46</v>
      </c>
    </row>
    <row r="218" spans="1:6" x14ac:dyDescent="0.45">
      <c r="A218" s="2">
        <v>45982</v>
      </c>
      <c r="B218" s="4">
        <v>41604.17</v>
      </c>
      <c r="C218" s="4">
        <v>102015.4</v>
      </c>
      <c r="D218" s="3">
        <v>0</v>
      </c>
      <c r="E218" s="4">
        <v>42422.32</v>
      </c>
      <c r="F218" s="4">
        <v>101197.25</v>
      </c>
    </row>
    <row r="219" spans="1:6" x14ac:dyDescent="0.45">
      <c r="A219" s="2">
        <v>45983</v>
      </c>
      <c r="B219" s="4">
        <v>41604.17</v>
      </c>
      <c r="C219" s="4">
        <v>102173.25</v>
      </c>
      <c r="D219" s="3">
        <v>0</v>
      </c>
      <c r="E219" s="4">
        <v>43058.6</v>
      </c>
      <c r="F219" s="4">
        <v>100718.82</v>
      </c>
    </row>
    <row r="220" spans="1:6" x14ac:dyDescent="0.45">
      <c r="A220" s="2">
        <v>45986</v>
      </c>
      <c r="B220" s="4">
        <v>41604.17</v>
      </c>
      <c r="C220" s="4">
        <v>104226.35</v>
      </c>
      <c r="D220" s="3">
        <v>0</v>
      </c>
      <c r="E220" s="4">
        <v>45006.48</v>
      </c>
      <c r="F220" s="4">
        <v>100824.04</v>
      </c>
    </row>
    <row r="221" spans="1:6" x14ac:dyDescent="0.45">
      <c r="A221" s="2">
        <v>45987</v>
      </c>
      <c r="B221" s="3">
        <v>-49.06</v>
      </c>
      <c r="C221" s="4">
        <v>101481.54</v>
      </c>
      <c r="D221" s="3">
        <v>0</v>
      </c>
      <c r="E221" s="3">
        <v>0</v>
      </c>
      <c r="F221" s="4">
        <v>101432.48</v>
      </c>
    </row>
    <row r="222" spans="1:6" x14ac:dyDescent="0.45">
      <c r="A222" s="2">
        <v>45988</v>
      </c>
      <c r="B222" s="3">
        <v>-49.06</v>
      </c>
      <c r="C222" s="4">
        <v>103065.36</v>
      </c>
      <c r="D222" s="3">
        <v>0</v>
      </c>
      <c r="E222" s="3">
        <v>0</v>
      </c>
      <c r="F222" s="4">
        <v>103016.3</v>
      </c>
    </row>
    <row r="223" spans="1:6" x14ac:dyDescent="0.45">
      <c r="A223" s="2">
        <v>45989</v>
      </c>
      <c r="B223" s="3">
        <v>-49.06</v>
      </c>
      <c r="C223" s="4">
        <v>103065.36</v>
      </c>
      <c r="D223" s="3">
        <v>0</v>
      </c>
      <c r="E223" s="3">
        <v>0</v>
      </c>
      <c r="F223" s="4">
        <v>103016.3</v>
      </c>
    </row>
    <row r="224" spans="1:6" x14ac:dyDescent="0.45">
      <c r="A224" s="2">
        <v>45990</v>
      </c>
      <c r="B224" s="3">
        <v>-49.06</v>
      </c>
      <c r="C224" s="4">
        <v>103780.92</v>
      </c>
      <c r="D224" s="3">
        <v>0</v>
      </c>
      <c r="E224" s="3">
        <v>0</v>
      </c>
      <c r="F224" s="4">
        <v>103731.86</v>
      </c>
    </row>
    <row r="225" spans="1:6" x14ac:dyDescent="0.45">
      <c r="A225" s="2">
        <v>45993</v>
      </c>
      <c r="B225" s="3">
        <v>-49.06</v>
      </c>
      <c r="C225" s="4">
        <v>102742.7</v>
      </c>
      <c r="D225" s="3">
        <v>0</v>
      </c>
      <c r="E225" s="3">
        <v>0</v>
      </c>
      <c r="F225" s="4">
        <v>102693.64</v>
      </c>
    </row>
    <row r="226" spans="1:6" x14ac:dyDescent="0.45">
      <c r="A226" s="2">
        <v>45994</v>
      </c>
      <c r="B226" s="3">
        <v>-49.06</v>
      </c>
      <c r="C226" s="4">
        <v>106379.1</v>
      </c>
      <c r="D226" s="3">
        <v>0</v>
      </c>
      <c r="E226" s="3">
        <v>0</v>
      </c>
      <c r="F226" s="4">
        <v>106330.04</v>
      </c>
    </row>
    <row r="227" spans="1:6" x14ac:dyDescent="0.45">
      <c r="A227" s="2">
        <v>45995</v>
      </c>
      <c r="B227" s="3">
        <v>-49.06</v>
      </c>
      <c r="C227" s="4">
        <v>105518.2</v>
      </c>
      <c r="D227" s="3">
        <v>0</v>
      </c>
      <c r="E227" s="3">
        <v>0</v>
      </c>
      <c r="F227" s="4">
        <v>105469.14</v>
      </c>
    </row>
    <row r="228" spans="1:6" x14ac:dyDescent="0.45">
      <c r="A228" s="2">
        <v>45996</v>
      </c>
      <c r="B228" s="3">
        <v>-49.06</v>
      </c>
      <c r="C228" s="4">
        <v>105764.36</v>
      </c>
      <c r="D228" s="3">
        <v>0</v>
      </c>
      <c r="E228" s="3">
        <v>0</v>
      </c>
      <c r="F228" s="4">
        <v>105715.3</v>
      </c>
    </row>
    <row r="229" spans="1:6" x14ac:dyDescent="0.45">
      <c r="A229" s="2">
        <v>45997</v>
      </c>
      <c r="B229" s="3">
        <v>-49.06</v>
      </c>
      <c r="C229" s="4">
        <v>105976.08</v>
      </c>
      <c r="D229" s="3">
        <v>0</v>
      </c>
      <c r="E229" s="3">
        <v>0</v>
      </c>
      <c r="F229" s="4">
        <v>105927.02</v>
      </c>
    </row>
    <row r="230" spans="1:6" x14ac:dyDescent="0.45">
      <c r="A230" s="2">
        <v>46000</v>
      </c>
      <c r="B230" s="3">
        <v>-49.06</v>
      </c>
      <c r="C230" s="4">
        <v>106238.86</v>
      </c>
      <c r="D230" s="3">
        <v>0</v>
      </c>
      <c r="E230" s="3">
        <v>0</v>
      </c>
      <c r="F230" s="4">
        <v>106189.8</v>
      </c>
    </row>
    <row r="231" spans="1:6" x14ac:dyDescent="0.45">
      <c r="A231" s="2">
        <v>46001</v>
      </c>
      <c r="B231" s="3">
        <v>-49.06</v>
      </c>
      <c r="C231" s="4">
        <v>103997.56</v>
      </c>
      <c r="D231" s="3">
        <v>0</v>
      </c>
      <c r="E231" s="3">
        <v>0</v>
      </c>
      <c r="F231" s="4">
        <v>103948.5</v>
      </c>
    </row>
    <row r="232" spans="1:6" x14ac:dyDescent="0.45">
      <c r="A232" s="2">
        <v>46002</v>
      </c>
      <c r="B232" s="3">
        <v>-49.06</v>
      </c>
      <c r="C232" s="4">
        <v>103553.66</v>
      </c>
      <c r="D232" s="3">
        <v>0</v>
      </c>
      <c r="E232" s="3">
        <v>0</v>
      </c>
      <c r="F232" s="4">
        <v>103504.6</v>
      </c>
    </row>
    <row r="233" spans="1:6" x14ac:dyDescent="0.45">
      <c r="A233" s="2">
        <v>46003</v>
      </c>
      <c r="B233" s="3">
        <v>-49.06</v>
      </c>
      <c r="C233" s="4">
        <v>105019.7</v>
      </c>
      <c r="D233" s="3">
        <v>0</v>
      </c>
      <c r="E233" s="3">
        <v>0</v>
      </c>
      <c r="F233" s="4">
        <v>104970.64</v>
      </c>
    </row>
    <row r="234" spans="1:6" x14ac:dyDescent="0.45">
      <c r="A234" s="2">
        <v>46004</v>
      </c>
      <c r="B234" s="3">
        <v>-49.06</v>
      </c>
      <c r="C234" s="4">
        <v>106416.44</v>
      </c>
      <c r="D234" s="3">
        <v>0</v>
      </c>
      <c r="E234" s="3">
        <v>0</v>
      </c>
      <c r="F234" s="4">
        <v>106367.38</v>
      </c>
    </row>
    <row r="235" spans="1:6" x14ac:dyDescent="0.45">
      <c r="A235" s="2">
        <v>46007</v>
      </c>
      <c r="B235" s="3">
        <v>-49.06</v>
      </c>
      <c r="C235" s="4">
        <v>107272.26</v>
      </c>
      <c r="D235" s="3">
        <v>0</v>
      </c>
      <c r="E235" s="3">
        <v>0</v>
      </c>
      <c r="F235" s="4">
        <v>107223.2</v>
      </c>
    </row>
    <row r="236" spans="1:6" x14ac:dyDescent="0.45">
      <c r="A236" s="2">
        <v>46008</v>
      </c>
      <c r="B236" s="3">
        <v>-49.06</v>
      </c>
      <c r="C236" s="4">
        <v>107071.18</v>
      </c>
      <c r="D236" s="3">
        <v>0</v>
      </c>
      <c r="E236" s="3">
        <v>0</v>
      </c>
      <c r="F236" s="4">
        <v>107022.12</v>
      </c>
    </row>
    <row r="237" spans="1:6" x14ac:dyDescent="0.45">
      <c r="A237" s="2">
        <v>46009</v>
      </c>
      <c r="B237" s="3">
        <v>-49.06</v>
      </c>
      <c r="C237" s="4">
        <v>107514.94</v>
      </c>
      <c r="D237" s="3">
        <v>0</v>
      </c>
      <c r="E237" s="3">
        <v>0</v>
      </c>
      <c r="F237" s="4">
        <v>107465.88</v>
      </c>
    </row>
    <row r="238" spans="1:6" x14ac:dyDescent="0.45">
      <c r="A238" s="2">
        <v>46010</v>
      </c>
      <c r="B238" s="3">
        <v>-49.06</v>
      </c>
      <c r="C238" s="4">
        <v>107812.48</v>
      </c>
      <c r="D238" s="3">
        <v>0</v>
      </c>
      <c r="E238" s="3">
        <v>0</v>
      </c>
      <c r="F238" s="4">
        <v>107763.42</v>
      </c>
    </row>
    <row r="239" spans="1:6" x14ac:dyDescent="0.45">
      <c r="A239" s="2">
        <v>46011</v>
      </c>
      <c r="B239" s="3">
        <v>-49.06</v>
      </c>
      <c r="C239" s="4">
        <v>108198.86</v>
      </c>
      <c r="D239" s="3">
        <v>0</v>
      </c>
      <c r="E239" s="3">
        <v>0</v>
      </c>
      <c r="F239" s="4">
        <v>108149.8</v>
      </c>
    </row>
    <row r="240" spans="1:6" x14ac:dyDescent="0.45">
      <c r="A240" s="2">
        <v>46014</v>
      </c>
      <c r="B240" s="3">
        <v>-49.06</v>
      </c>
      <c r="C240" s="4">
        <v>109447.2</v>
      </c>
      <c r="D240" s="3">
        <v>0</v>
      </c>
      <c r="E240" s="3">
        <v>0</v>
      </c>
      <c r="F240" s="4">
        <v>109398.14</v>
      </c>
    </row>
    <row r="241" spans="1:6" x14ac:dyDescent="0.45">
      <c r="A241" s="2">
        <v>46015</v>
      </c>
      <c r="B241" s="3">
        <v>-49.06</v>
      </c>
      <c r="C241" s="4">
        <v>109521.02</v>
      </c>
      <c r="D241" s="3">
        <v>0</v>
      </c>
      <c r="E241" s="3">
        <v>0</v>
      </c>
      <c r="F241" s="4">
        <v>109471.96</v>
      </c>
    </row>
    <row r="242" spans="1:6" x14ac:dyDescent="0.45">
      <c r="A242" s="2">
        <v>46016</v>
      </c>
      <c r="B242" s="3">
        <v>-49.06</v>
      </c>
      <c r="C242" s="4">
        <v>110027.28</v>
      </c>
      <c r="D242" s="3">
        <v>0</v>
      </c>
      <c r="E242" s="3">
        <v>0</v>
      </c>
      <c r="F242" s="4">
        <v>109978.22</v>
      </c>
    </row>
    <row r="243" spans="1:6" x14ac:dyDescent="0.45">
      <c r="A243" s="2">
        <v>46017</v>
      </c>
      <c r="B243" s="3">
        <v>-49.06</v>
      </c>
      <c r="C243" s="4">
        <v>110027.28</v>
      </c>
      <c r="D243" s="3">
        <v>0</v>
      </c>
      <c r="E243" s="3">
        <v>0</v>
      </c>
      <c r="F243" s="4">
        <v>109978.22</v>
      </c>
    </row>
    <row r="244" spans="1:6" x14ac:dyDescent="0.45">
      <c r="A244" s="2">
        <v>46018</v>
      </c>
      <c r="B244" s="3">
        <v>-49.06</v>
      </c>
      <c r="C244" s="4">
        <v>109335.4</v>
      </c>
      <c r="D244" s="3">
        <v>0</v>
      </c>
      <c r="E244" s="3">
        <v>0</v>
      </c>
      <c r="F244" s="4">
        <v>109286.34</v>
      </c>
    </row>
    <row r="245" spans="1:6" x14ac:dyDescent="0.45">
      <c r="A245" s="2">
        <v>46021</v>
      </c>
      <c r="B245" s="3">
        <v>5.54</v>
      </c>
      <c r="C245" s="4">
        <v>109684.8</v>
      </c>
      <c r="D245" s="3">
        <v>0</v>
      </c>
      <c r="E245" s="3">
        <v>0</v>
      </c>
      <c r="F245" s="4">
        <v>109690.34</v>
      </c>
    </row>
    <row r="246" spans="1:6" x14ac:dyDescent="0.45">
      <c r="A246" s="2">
        <v>46022</v>
      </c>
      <c r="B246" s="3">
        <v>5.54</v>
      </c>
      <c r="C246" s="4">
        <v>110070.32</v>
      </c>
      <c r="D246" s="3">
        <v>0</v>
      </c>
      <c r="E246" s="3">
        <v>0</v>
      </c>
      <c r="F246" s="4">
        <v>110075.86</v>
      </c>
    </row>
    <row r="247" spans="1:6" x14ac:dyDescent="0.45">
      <c r="A247" s="2">
        <v>46023</v>
      </c>
      <c r="B247" s="3">
        <v>5.54</v>
      </c>
      <c r="C247" s="4">
        <v>109324.3</v>
      </c>
      <c r="D247" s="3">
        <v>0</v>
      </c>
      <c r="E247" s="3">
        <v>0</v>
      </c>
      <c r="F247" s="4">
        <v>109329.84</v>
      </c>
    </row>
    <row r="248" spans="1:6" x14ac:dyDescent="0.45">
      <c r="A248" s="2">
        <v>46024</v>
      </c>
      <c r="B248" s="3">
        <v>5.54</v>
      </c>
      <c r="C248" s="4">
        <v>109324.3</v>
      </c>
      <c r="D248" s="3">
        <v>0</v>
      </c>
      <c r="E248" s="3">
        <v>0</v>
      </c>
      <c r="F248" s="4">
        <v>109329.84</v>
      </c>
    </row>
    <row r="249" spans="1:6" x14ac:dyDescent="0.45">
      <c r="A249" s="2">
        <v>46025</v>
      </c>
      <c r="B249" s="3">
        <v>5.54</v>
      </c>
      <c r="C249" s="4">
        <v>110718.5</v>
      </c>
      <c r="D249" s="3">
        <v>0</v>
      </c>
      <c r="E249" s="3">
        <v>0</v>
      </c>
      <c r="F249" s="4">
        <v>110724.04</v>
      </c>
    </row>
    <row r="250" spans="1:6" x14ac:dyDescent="0.45">
      <c r="A250" s="2">
        <v>46028</v>
      </c>
      <c r="B250" s="3">
        <v>5.54</v>
      </c>
      <c r="C250" s="4">
        <v>110730.54</v>
      </c>
      <c r="D250" s="3">
        <v>0</v>
      </c>
      <c r="E250" s="3">
        <v>0</v>
      </c>
      <c r="F250" s="4">
        <v>110736.08</v>
      </c>
    </row>
    <row r="251" spans="1:6" x14ac:dyDescent="0.45">
      <c r="A251" s="2">
        <v>46029</v>
      </c>
      <c r="B251" s="3">
        <v>5.54</v>
      </c>
      <c r="C251" s="4">
        <v>111067.8</v>
      </c>
      <c r="D251" s="3">
        <v>0</v>
      </c>
      <c r="E251" s="3">
        <v>0</v>
      </c>
      <c r="F251" s="4">
        <v>111073.34</v>
      </c>
    </row>
    <row r="252" spans="1:6" x14ac:dyDescent="0.45">
      <c r="A252" s="2">
        <v>46030</v>
      </c>
      <c r="B252" s="3">
        <v>5.54</v>
      </c>
      <c r="C252" s="4">
        <v>110431.94</v>
      </c>
      <c r="D252" s="3">
        <v>0</v>
      </c>
      <c r="E252" s="3">
        <v>0</v>
      </c>
      <c r="F252" s="4">
        <v>110437.48</v>
      </c>
    </row>
    <row r="253" spans="1:6" x14ac:dyDescent="0.45">
      <c r="A253" s="2">
        <v>46031</v>
      </c>
      <c r="B253" s="3">
        <v>5.54</v>
      </c>
      <c r="C253" s="4">
        <v>110598.84</v>
      </c>
      <c r="D253" s="3">
        <v>0</v>
      </c>
      <c r="E253" s="3">
        <v>0</v>
      </c>
      <c r="F253" s="4">
        <v>110604.38</v>
      </c>
    </row>
    <row r="254" spans="1:6" x14ac:dyDescent="0.45">
      <c r="A254" s="2">
        <v>46032</v>
      </c>
      <c r="B254" s="3">
        <v>5.54</v>
      </c>
      <c r="C254" s="4">
        <v>111788.3</v>
      </c>
      <c r="D254" s="3">
        <v>0</v>
      </c>
      <c r="E254" s="3">
        <v>0</v>
      </c>
      <c r="F254" s="4">
        <v>111793.84</v>
      </c>
    </row>
    <row r="255" spans="1:6" x14ac:dyDescent="0.45">
      <c r="A255" s="2">
        <v>46035</v>
      </c>
      <c r="B255" s="3">
        <v>5.54</v>
      </c>
      <c r="C255" s="4">
        <v>112762.64</v>
      </c>
      <c r="D255" s="3">
        <v>0</v>
      </c>
      <c r="E255" s="3">
        <v>0</v>
      </c>
      <c r="F255" s="4">
        <v>112768.18</v>
      </c>
    </row>
    <row r="256" spans="1:6" x14ac:dyDescent="0.45">
      <c r="A256" s="2">
        <v>46036</v>
      </c>
      <c r="B256" s="3">
        <v>5.54</v>
      </c>
      <c r="C256" s="4">
        <v>114046.78</v>
      </c>
      <c r="D256" s="3">
        <v>0</v>
      </c>
      <c r="E256" s="3">
        <v>0</v>
      </c>
      <c r="F256" s="4">
        <v>114052.32</v>
      </c>
    </row>
    <row r="257" spans="1:6" x14ac:dyDescent="0.45">
      <c r="A257" s="2">
        <v>46037</v>
      </c>
      <c r="B257" s="3">
        <v>5.54</v>
      </c>
      <c r="C257" s="4">
        <v>113381.9</v>
      </c>
      <c r="D257" s="3">
        <v>0</v>
      </c>
      <c r="E257" s="3">
        <v>0</v>
      </c>
      <c r="F257" s="4">
        <v>113387.44</v>
      </c>
    </row>
    <row r="258" spans="1:6" x14ac:dyDescent="0.45">
      <c r="A258" s="2">
        <v>46038</v>
      </c>
      <c r="B258" s="3">
        <v>5.54</v>
      </c>
      <c r="C258" s="4">
        <v>114416.84</v>
      </c>
      <c r="D258" s="3">
        <v>0</v>
      </c>
      <c r="E258" s="3">
        <v>0</v>
      </c>
      <c r="F258" s="4">
        <v>114422.38</v>
      </c>
    </row>
    <row r="259" spans="1:6" x14ac:dyDescent="0.45">
      <c r="A259" s="2">
        <v>46039</v>
      </c>
      <c r="B259" s="3">
        <v>5.54</v>
      </c>
      <c r="C259" s="4">
        <v>114080.48</v>
      </c>
      <c r="D259" s="3">
        <v>0</v>
      </c>
      <c r="E259" s="3">
        <v>0</v>
      </c>
      <c r="F259" s="4">
        <v>114086.02</v>
      </c>
    </row>
    <row r="260" spans="1:6" x14ac:dyDescent="0.45">
      <c r="A260" s="2">
        <v>46042</v>
      </c>
      <c r="B260" s="3">
        <v>5.54</v>
      </c>
      <c r="C260" s="4">
        <v>114080.48</v>
      </c>
      <c r="D260" s="3">
        <v>0</v>
      </c>
      <c r="E260" s="3">
        <v>0</v>
      </c>
      <c r="F260" s="4">
        <v>114086.02</v>
      </c>
    </row>
    <row r="261" spans="1:6" x14ac:dyDescent="0.45">
      <c r="A261" s="2">
        <v>46043</v>
      </c>
      <c r="B261" s="3">
        <v>5.54</v>
      </c>
      <c r="C261" s="4">
        <v>113548.48</v>
      </c>
      <c r="D261" s="3">
        <v>0</v>
      </c>
      <c r="E261" s="3">
        <v>0</v>
      </c>
      <c r="F261" s="4">
        <v>113554.02</v>
      </c>
    </row>
    <row r="262" spans="1:6" x14ac:dyDescent="0.45">
      <c r="A262" s="2">
        <v>46044</v>
      </c>
      <c r="B262" s="3">
        <v>5.54</v>
      </c>
      <c r="C262" s="4">
        <v>113674.06</v>
      </c>
      <c r="D262" s="3">
        <v>0</v>
      </c>
      <c r="E262" s="3">
        <v>0</v>
      </c>
      <c r="F262" s="4">
        <v>113679.6</v>
      </c>
    </row>
    <row r="263" spans="1:6" x14ac:dyDescent="0.45">
      <c r="A263" s="2">
        <v>46045</v>
      </c>
      <c r="B263" s="3">
        <v>5.54</v>
      </c>
      <c r="C263" s="4">
        <v>113709.08</v>
      </c>
      <c r="D263" s="3">
        <v>0</v>
      </c>
      <c r="E263" s="3">
        <v>0</v>
      </c>
      <c r="F263" s="4">
        <v>113714.62</v>
      </c>
    </row>
    <row r="264" spans="1:6" x14ac:dyDescent="0.45">
      <c r="A264" s="2">
        <v>46046</v>
      </c>
      <c r="B264" s="3">
        <v>5.54</v>
      </c>
      <c r="C264" s="4">
        <v>113628.64</v>
      </c>
      <c r="D264" s="3">
        <v>0</v>
      </c>
      <c r="E264" s="3">
        <v>0</v>
      </c>
      <c r="F264" s="4">
        <v>113634.18</v>
      </c>
    </row>
    <row r="265" spans="1:6" x14ac:dyDescent="0.45">
      <c r="A265" s="2">
        <v>46049</v>
      </c>
      <c r="B265" s="3">
        <v>5.54</v>
      </c>
      <c r="C265" s="4">
        <v>113244.94</v>
      </c>
      <c r="D265" s="3">
        <v>0</v>
      </c>
      <c r="E265" s="3">
        <v>0</v>
      </c>
      <c r="F265" s="4">
        <v>113250.48</v>
      </c>
    </row>
    <row r="266" spans="1:6" x14ac:dyDescent="0.45">
      <c r="A266" s="2">
        <v>46050</v>
      </c>
      <c r="B266" s="3">
        <v>5.54</v>
      </c>
      <c r="C266" s="4">
        <v>111271.64</v>
      </c>
      <c r="D266" s="3">
        <v>0</v>
      </c>
      <c r="E266" s="3">
        <v>0</v>
      </c>
      <c r="F266" s="4">
        <v>111277.18</v>
      </c>
    </row>
    <row r="267" spans="1:6" x14ac:dyDescent="0.45">
      <c r="A267" s="2">
        <v>46051</v>
      </c>
      <c r="B267" s="3">
        <v>5.54</v>
      </c>
      <c r="C267" s="4">
        <v>110255.58</v>
      </c>
      <c r="D267" s="3">
        <v>0</v>
      </c>
      <c r="E267" s="3">
        <v>0</v>
      </c>
      <c r="F267" s="4">
        <v>110261.12</v>
      </c>
    </row>
    <row r="268" spans="1:6" x14ac:dyDescent="0.45">
      <c r="A268" s="2">
        <v>46052</v>
      </c>
      <c r="B268" s="3">
        <v>5.54</v>
      </c>
      <c r="C268" s="4">
        <v>109517.58</v>
      </c>
      <c r="D268" s="3">
        <v>0</v>
      </c>
      <c r="E268" s="3">
        <v>0</v>
      </c>
      <c r="F268" s="4">
        <v>109523.12</v>
      </c>
    </row>
    <row r="269" spans="1:6" x14ac:dyDescent="0.45">
      <c r="A269" s="2">
        <v>46053</v>
      </c>
      <c r="B269" s="3">
        <v>5.54</v>
      </c>
      <c r="C269" s="4">
        <v>109938.66</v>
      </c>
      <c r="D269" s="3">
        <v>0</v>
      </c>
      <c r="E269" s="3">
        <v>0</v>
      </c>
      <c r="F269" s="4">
        <v>109944.2</v>
      </c>
    </row>
    <row r="270" spans="1:6" x14ac:dyDescent="0.45">
      <c r="A270" s="2">
        <v>46056</v>
      </c>
      <c r="B270" s="3">
        <v>5.54</v>
      </c>
      <c r="C270" s="4">
        <v>110343.98</v>
      </c>
      <c r="D270" s="3">
        <v>0</v>
      </c>
      <c r="E270" s="3">
        <v>0</v>
      </c>
      <c r="F270" s="4">
        <v>110349.52</v>
      </c>
    </row>
    <row r="271" spans="1:6" x14ac:dyDescent="0.45">
      <c r="A271" s="2">
        <v>46057</v>
      </c>
      <c r="B271" s="3">
        <v>5.54</v>
      </c>
      <c r="C271" s="4">
        <v>111209.88</v>
      </c>
      <c r="D271" s="3">
        <v>0</v>
      </c>
      <c r="E271" s="3">
        <v>0</v>
      </c>
      <c r="F271" s="4">
        <v>111215.42</v>
      </c>
    </row>
    <row r="272" spans="1:6" x14ac:dyDescent="0.45">
      <c r="A272" s="2">
        <v>46058</v>
      </c>
      <c r="B272" s="3">
        <v>5.54</v>
      </c>
      <c r="C272" s="4">
        <v>113037.75999999999</v>
      </c>
      <c r="D272" s="3">
        <v>0</v>
      </c>
      <c r="E272" s="3">
        <v>0</v>
      </c>
      <c r="F272" s="4">
        <v>113043.3</v>
      </c>
    </row>
    <row r="273" spans="1:6" x14ac:dyDescent="0.45">
      <c r="A273" s="2">
        <v>46059</v>
      </c>
      <c r="B273" s="3">
        <v>5.54</v>
      </c>
      <c r="C273" s="4">
        <v>113357.98</v>
      </c>
      <c r="D273" s="3">
        <v>0</v>
      </c>
      <c r="E273" s="3">
        <v>0</v>
      </c>
      <c r="F273" s="4">
        <v>113363.52</v>
      </c>
    </row>
    <row r="274" spans="1:6" x14ac:dyDescent="0.45">
      <c r="A274" s="2">
        <v>46060</v>
      </c>
      <c r="B274" s="3">
        <v>5.54</v>
      </c>
      <c r="C274" s="4">
        <v>115264.18</v>
      </c>
      <c r="D274" s="3">
        <v>0</v>
      </c>
      <c r="E274" s="3">
        <v>0</v>
      </c>
      <c r="F274" s="4">
        <v>115269.72</v>
      </c>
    </row>
    <row r="275" spans="1:6" x14ac:dyDescent="0.45">
      <c r="A275" s="2">
        <v>46063</v>
      </c>
      <c r="B275" s="3">
        <v>5.54</v>
      </c>
      <c r="C275" s="4">
        <v>114403.46</v>
      </c>
      <c r="D275" s="3">
        <v>0</v>
      </c>
      <c r="E275" s="3">
        <v>0</v>
      </c>
      <c r="F275" s="4">
        <v>114409</v>
      </c>
    </row>
    <row r="276" spans="1:6" x14ac:dyDescent="0.45">
      <c r="A276" s="2">
        <v>46064</v>
      </c>
      <c r="B276" s="3">
        <v>5.54</v>
      </c>
      <c r="C276" s="4">
        <v>114536.3</v>
      </c>
      <c r="D276" s="3">
        <v>0</v>
      </c>
      <c r="E276" s="3">
        <v>0</v>
      </c>
      <c r="F276" s="4">
        <v>114541.84</v>
      </c>
    </row>
    <row r="277" spans="1:6" x14ac:dyDescent="0.45">
      <c r="A277" s="2">
        <v>46065</v>
      </c>
      <c r="B277" s="3">
        <v>5.54</v>
      </c>
      <c r="C277" s="4">
        <v>112980.64</v>
      </c>
      <c r="D277" s="3">
        <v>0</v>
      </c>
      <c r="E277" s="3">
        <v>0</v>
      </c>
      <c r="F277" s="4">
        <v>112986.18</v>
      </c>
    </row>
    <row r="278" spans="1:6" x14ac:dyDescent="0.45">
      <c r="A278" s="2">
        <v>46066</v>
      </c>
      <c r="B278" s="3">
        <v>5.54</v>
      </c>
      <c r="C278" s="4">
        <v>112870.32</v>
      </c>
      <c r="D278" s="3">
        <v>0</v>
      </c>
      <c r="E278" s="3">
        <v>0</v>
      </c>
      <c r="F278" s="4">
        <v>112875.86</v>
      </c>
    </row>
    <row r="279" spans="1:6" x14ac:dyDescent="0.45">
      <c r="A279" s="2">
        <v>46067</v>
      </c>
      <c r="B279" s="3">
        <v>5.54</v>
      </c>
      <c r="C279" s="4">
        <v>113814.6</v>
      </c>
      <c r="D279" s="3">
        <v>0</v>
      </c>
      <c r="E279" s="3">
        <v>0</v>
      </c>
      <c r="F279" s="4">
        <v>113820.14</v>
      </c>
    </row>
    <row r="280" spans="1:6" x14ac:dyDescent="0.45">
      <c r="F280" s="6"/>
    </row>
  </sheetData>
  <sortState xmlns:xlrd2="http://schemas.microsoft.com/office/spreadsheetml/2017/richdata2" ref="A2:F279">
    <sortCondition ref="A2:A27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887CB-3194-4A9E-AA65-2F8A518AA6CE}">
  <dimension ref="A1:D284"/>
  <sheetViews>
    <sheetView zoomScaleNormal="100" workbookViewId="0">
      <selection activeCell="B3" sqref="B3"/>
    </sheetView>
  </sheetViews>
  <sheetFormatPr defaultRowHeight="14.25" x14ac:dyDescent="0.45"/>
  <cols>
    <col min="1" max="1" width="21.9296875" customWidth="1"/>
    <col min="2" max="2" width="14.3984375" customWidth="1"/>
    <col min="3" max="3" width="12.9296875" customWidth="1"/>
    <col min="4" max="4" width="22.53125" customWidth="1"/>
  </cols>
  <sheetData>
    <row r="1" spans="1:4" x14ac:dyDescent="0.45">
      <c r="A1" s="17" t="s">
        <v>3</v>
      </c>
      <c r="B1" s="18"/>
    </row>
    <row r="2" spans="1:4" x14ac:dyDescent="0.45">
      <c r="A2" s="14" t="s">
        <v>4</v>
      </c>
      <c r="B2" s="15">
        <f xml:space="preserve"> (Raw_data!F279 / Raw_data!F2) - 1</f>
        <v>0.13820140000000003</v>
      </c>
    </row>
    <row r="3" spans="1:4" x14ac:dyDescent="0.45">
      <c r="A3" s="14" t="s">
        <v>5</v>
      </c>
      <c r="B3" s="16">
        <f>AVERAGE(C9:C284)</f>
        <v>7.2486576276570855E-4</v>
      </c>
    </row>
    <row r="4" spans="1:4" x14ac:dyDescent="0.45">
      <c r="A4" s="14" t="s">
        <v>6</v>
      </c>
      <c r="B4" s="15">
        <f>_xlfn.STDEV.S(C9:C284)</f>
        <v>2.4713350532626278E-2</v>
      </c>
    </row>
    <row r="7" spans="1:4" x14ac:dyDescent="0.45">
      <c r="A7" s="7" t="s">
        <v>0</v>
      </c>
      <c r="B7" s="7" t="s">
        <v>10</v>
      </c>
      <c r="C7" s="7" t="s">
        <v>11</v>
      </c>
      <c r="D7" s="7" t="s">
        <v>12</v>
      </c>
    </row>
    <row r="8" spans="1:4" x14ac:dyDescent="0.45">
      <c r="A8" s="8">
        <f>Raw_data!A2</f>
        <v>45653</v>
      </c>
      <c r="B8" s="9">
        <f>Raw_data!F2</f>
        <v>100000</v>
      </c>
      <c r="D8">
        <v>0</v>
      </c>
    </row>
    <row r="9" spans="1:4" x14ac:dyDescent="0.45">
      <c r="A9" s="8">
        <f>Raw_data!A3</f>
        <v>45657</v>
      </c>
      <c r="B9" s="9">
        <f>Raw_data!F3</f>
        <v>100072</v>
      </c>
      <c r="C9" s="5">
        <f>(B9-B8)/B8</f>
        <v>7.2000000000000005E-4</v>
      </c>
      <c r="D9" s="5">
        <f>(B9/B$8)-1</f>
        <v>7.2000000000005393E-4</v>
      </c>
    </row>
    <row r="10" spans="1:4" x14ac:dyDescent="0.45">
      <c r="A10" s="8">
        <f>Raw_data!A4</f>
        <v>45661</v>
      </c>
      <c r="B10" s="9">
        <f>Raw_data!F4</f>
        <v>100072</v>
      </c>
      <c r="C10" s="5">
        <f t="shared" ref="C10:C73" si="0">(B10-B9)/B9</f>
        <v>0</v>
      </c>
      <c r="D10" s="5">
        <f t="shared" ref="D10:D73" si="1">(B10/B$8)-1</f>
        <v>7.2000000000005393E-4</v>
      </c>
    </row>
    <row r="11" spans="1:4" x14ac:dyDescent="0.45">
      <c r="A11" s="8">
        <f>Raw_data!A5</f>
        <v>45668</v>
      </c>
      <c r="B11" s="9">
        <f>Raw_data!F5</f>
        <v>95637.87</v>
      </c>
      <c r="C11" s="5">
        <f t="shared" si="0"/>
        <v>-4.430939723399157E-2</v>
      </c>
      <c r="D11" s="5">
        <f t="shared" si="1"/>
        <v>-4.3621300000000085E-2</v>
      </c>
    </row>
    <row r="12" spans="1:4" x14ac:dyDescent="0.45">
      <c r="A12" s="8">
        <f>Raw_data!A6</f>
        <v>45673</v>
      </c>
      <c r="B12" s="9">
        <f>Raw_data!F6</f>
        <v>95637.87</v>
      </c>
      <c r="C12" s="5">
        <f t="shared" si="0"/>
        <v>0</v>
      </c>
      <c r="D12" s="5">
        <f t="shared" si="1"/>
        <v>-4.3621300000000085E-2</v>
      </c>
    </row>
    <row r="13" spans="1:4" x14ac:dyDescent="0.45">
      <c r="A13" s="8">
        <f>Raw_data!A7</f>
        <v>45679</v>
      </c>
      <c r="B13" s="9">
        <f>Raw_data!F7</f>
        <v>95637.87</v>
      </c>
      <c r="C13" s="5">
        <f t="shared" si="0"/>
        <v>0</v>
      </c>
      <c r="D13" s="5">
        <f t="shared" si="1"/>
        <v>-4.3621300000000085E-2</v>
      </c>
    </row>
    <row r="14" spans="1:4" x14ac:dyDescent="0.45">
      <c r="A14" s="8">
        <f>Raw_data!A8</f>
        <v>45681</v>
      </c>
      <c r="B14" s="9">
        <f>Raw_data!F8</f>
        <v>95637.87</v>
      </c>
      <c r="C14" s="5">
        <f t="shared" si="0"/>
        <v>0</v>
      </c>
      <c r="D14" s="5">
        <f t="shared" si="1"/>
        <v>-4.3621300000000085E-2</v>
      </c>
    </row>
    <row r="15" spans="1:4" x14ac:dyDescent="0.45">
      <c r="A15" s="8">
        <f>Raw_data!A9</f>
        <v>45686</v>
      </c>
      <c r="B15" s="9">
        <f>Raw_data!F9</f>
        <v>95637.87</v>
      </c>
      <c r="C15" s="5">
        <f t="shared" si="0"/>
        <v>0</v>
      </c>
      <c r="D15" s="5">
        <f t="shared" si="1"/>
        <v>-4.3621300000000085E-2</v>
      </c>
    </row>
    <row r="16" spans="1:4" x14ac:dyDescent="0.45">
      <c r="A16" s="8">
        <f>Raw_data!A10</f>
        <v>45692</v>
      </c>
      <c r="B16" s="9">
        <f>Raw_data!F10</f>
        <v>95637.87</v>
      </c>
      <c r="C16" s="5">
        <f t="shared" si="0"/>
        <v>0</v>
      </c>
      <c r="D16" s="5">
        <f t="shared" si="1"/>
        <v>-4.3621300000000085E-2</v>
      </c>
    </row>
    <row r="17" spans="1:4" x14ac:dyDescent="0.45">
      <c r="A17" s="8">
        <f>Raw_data!A11</f>
        <v>45693</v>
      </c>
      <c r="B17" s="9">
        <f>Raw_data!F11</f>
        <v>95637.87</v>
      </c>
      <c r="C17" s="5">
        <f t="shared" si="0"/>
        <v>0</v>
      </c>
      <c r="D17" s="5">
        <f t="shared" si="1"/>
        <v>-4.3621300000000085E-2</v>
      </c>
    </row>
    <row r="18" spans="1:4" x14ac:dyDescent="0.45">
      <c r="A18" s="8">
        <f>Raw_data!A12</f>
        <v>45694</v>
      </c>
      <c r="B18" s="9">
        <f>Raw_data!F12</f>
        <v>95637.87</v>
      </c>
      <c r="C18" s="5">
        <f t="shared" si="0"/>
        <v>0</v>
      </c>
      <c r="D18" s="5">
        <f t="shared" si="1"/>
        <v>-4.3621300000000085E-2</v>
      </c>
    </row>
    <row r="19" spans="1:4" x14ac:dyDescent="0.45">
      <c r="A19" s="8">
        <f>Raw_data!A13</f>
        <v>45695</v>
      </c>
      <c r="B19" s="9">
        <f>Raw_data!F13</f>
        <v>95637.87</v>
      </c>
      <c r="C19" s="5">
        <f t="shared" si="0"/>
        <v>0</v>
      </c>
      <c r="D19" s="5">
        <f t="shared" si="1"/>
        <v>-4.3621300000000085E-2</v>
      </c>
    </row>
    <row r="20" spans="1:4" x14ac:dyDescent="0.45">
      <c r="A20" s="8">
        <f>Raw_data!A14</f>
        <v>45696</v>
      </c>
      <c r="B20" s="9">
        <f>Raw_data!F14</f>
        <v>95637.87</v>
      </c>
      <c r="C20" s="5">
        <f t="shared" si="0"/>
        <v>0</v>
      </c>
      <c r="D20" s="5">
        <f t="shared" si="1"/>
        <v>-4.3621300000000085E-2</v>
      </c>
    </row>
    <row r="21" spans="1:4" x14ac:dyDescent="0.45">
      <c r="A21" s="8">
        <f>Raw_data!A15</f>
        <v>45699</v>
      </c>
      <c r="B21" s="9">
        <f>Raw_data!F15</f>
        <v>95637.87</v>
      </c>
      <c r="C21" s="5">
        <f t="shared" si="0"/>
        <v>0</v>
      </c>
      <c r="D21" s="5">
        <f t="shared" si="1"/>
        <v>-4.3621300000000085E-2</v>
      </c>
    </row>
    <row r="22" spans="1:4" x14ac:dyDescent="0.45">
      <c r="A22" s="8">
        <f>Raw_data!A16</f>
        <v>45700</v>
      </c>
      <c r="B22" s="9">
        <f>Raw_data!F16</f>
        <v>95637.87</v>
      </c>
      <c r="C22" s="5">
        <f t="shared" si="0"/>
        <v>0</v>
      </c>
      <c r="D22" s="5">
        <f t="shared" si="1"/>
        <v>-4.3621300000000085E-2</v>
      </c>
    </row>
    <row r="23" spans="1:4" x14ac:dyDescent="0.45">
      <c r="A23" s="8">
        <f>Raw_data!A17</f>
        <v>45701</v>
      </c>
      <c r="B23" s="9">
        <f>Raw_data!F17</f>
        <v>95637.87</v>
      </c>
      <c r="C23" s="5">
        <f t="shared" si="0"/>
        <v>0</v>
      </c>
      <c r="D23" s="5">
        <f t="shared" si="1"/>
        <v>-4.3621300000000085E-2</v>
      </c>
    </row>
    <row r="24" spans="1:4" x14ac:dyDescent="0.45">
      <c r="A24" s="8">
        <f>Raw_data!A18</f>
        <v>45702</v>
      </c>
      <c r="B24" s="9">
        <f>Raw_data!F18</f>
        <v>95637.87</v>
      </c>
      <c r="C24" s="5">
        <f t="shared" si="0"/>
        <v>0</v>
      </c>
      <c r="D24" s="5">
        <f t="shared" si="1"/>
        <v>-4.3621300000000085E-2</v>
      </c>
    </row>
    <row r="25" spans="1:4" x14ac:dyDescent="0.45">
      <c r="A25" s="8">
        <f>Raw_data!A19</f>
        <v>45703</v>
      </c>
      <c r="B25" s="9">
        <f>Raw_data!F19</f>
        <v>95637.87</v>
      </c>
      <c r="C25" s="5">
        <f t="shared" si="0"/>
        <v>0</v>
      </c>
      <c r="D25" s="5">
        <f t="shared" si="1"/>
        <v>-4.3621300000000085E-2</v>
      </c>
    </row>
    <row r="26" spans="1:4" x14ac:dyDescent="0.45">
      <c r="A26" s="8">
        <f>Raw_data!A20</f>
        <v>45706</v>
      </c>
      <c r="B26" s="9">
        <f>Raw_data!F20</f>
        <v>95637.87</v>
      </c>
      <c r="C26" s="5">
        <f t="shared" si="0"/>
        <v>0</v>
      </c>
      <c r="D26" s="5">
        <f t="shared" si="1"/>
        <v>-4.3621300000000085E-2</v>
      </c>
    </row>
    <row r="27" spans="1:4" x14ac:dyDescent="0.45">
      <c r="A27" s="8">
        <f>Raw_data!A21</f>
        <v>45707</v>
      </c>
      <c r="B27" s="9">
        <f>Raw_data!F21</f>
        <v>95637.87</v>
      </c>
      <c r="C27" s="5">
        <f t="shared" si="0"/>
        <v>0</v>
      </c>
      <c r="D27" s="5">
        <f t="shared" si="1"/>
        <v>-4.3621300000000085E-2</v>
      </c>
    </row>
    <row r="28" spans="1:4" x14ac:dyDescent="0.45">
      <c r="A28" s="8">
        <f>Raw_data!A22</f>
        <v>45708</v>
      </c>
      <c r="B28" s="9">
        <f>Raw_data!F22</f>
        <v>95637.87</v>
      </c>
      <c r="C28" s="5">
        <f t="shared" si="0"/>
        <v>0</v>
      </c>
      <c r="D28" s="5">
        <f t="shared" si="1"/>
        <v>-4.3621300000000085E-2</v>
      </c>
    </row>
    <row r="29" spans="1:4" x14ac:dyDescent="0.45">
      <c r="A29" s="8">
        <f>Raw_data!A23</f>
        <v>45709</v>
      </c>
      <c r="B29" s="9">
        <f>Raw_data!F23</f>
        <v>95637.87</v>
      </c>
      <c r="C29" s="5">
        <f t="shared" si="0"/>
        <v>0</v>
      </c>
      <c r="D29" s="5">
        <f t="shared" si="1"/>
        <v>-4.3621300000000085E-2</v>
      </c>
    </row>
    <row r="30" spans="1:4" x14ac:dyDescent="0.45">
      <c r="A30" s="8">
        <f>Raw_data!A24</f>
        <v>45710</v>
      </c>
      <c r="B30" s="9">
        <f>Raw_data!F24</f>
        <v>95637.87</v>
      </c>
      <c r="C30" s="5">
        <f t="shared" si="0"/>
        <v>0</v>
      </c>
      <c r="D30" s="5">
        <f t="shared" si="1"/>
        <v>-4.3621300000000085E-2</v>
      </c>
    </row>
    <row r="31" spans="1:4" x14ac:dyDescent="0.45">
      <c r="A31" s="8">
        <f>Raw_data!A25</f>
        <v>45713</v>
      </c>
      <c r="B31" s="9">
        <f>Raw_data!F25</f>
        <v>95637.87</v>
      </c>
      <c r="C31" s="5">
        <f t="shared" si="0"/>
        <v>0</v>
      </c>
      <c r="D31" s="5">
        <f t="shared" si="1"/>
        <v>-4.3621300000000085E-2</v>
      </c>
    </row>
    <row r="32" spans="1:4" x14ac:dyDescent="0.45">
      <c r="A32" s="8">
        <f>Raw_data!A26</f>
        <v>45714</v>
      </c>
      <c r="B32" s="9">
        <f>Raw_data!F26</f>
        <v>95637.87</v>
      </c>
      <c r="C32" s="5">
        <f t="shared" si="0"/>
        <v>0</v>
      </c>
      <c r="D32" s="5">
        <f t="shared" si="1"/>
        <v>-4.3621300000000085E-2</v>
      </c>
    </row>
    <row r="33" spans="1:4" x14ac:dyDescent="0.45">
      <c r="A33" s="8">
        <f>Raw_data!A27</f>
        <v>45715</v>
      </c>
      <c r="B33" s="9">
        <f>Raw_data!F27</f>
        <v>95637.87</v>
      </c>
      <c r="C33" s="5">
        <f t="shared" si="0"/>
        <v>0</v>
      </c>
      <c r="D33" s="5">
        <f t="shared" si="1"/>
        <v>-4.3621300000000085E-2</v>
      </c>
    </row>
    <row r="34" spans="1:4" x14ac:dyDescent="0.45">
      <c r="A34" s="8">
        <f>Raw_data!A28</f>
        <v>45716</v>
      </c>
      <c r="B34" s="9">
        <f>Raw_data!F28</f>
        <v>95637.87</v>
      </c>
      <c r="C34" s="5">
        <f t="shared" si="0"/>
        <v>0</v>
      </c>
      <c r="D34" s="5">
        <f t="shared" si="1"/>
        <v>-4.3621300000000085E-2</v>
      </c>
    </row>
    <row r="35" spans="1:4" x14ac:dyDescent="0.45">
      <c r="A35" s="8">
        <f>Raw_data!A29</f>
        <v>45717</v>
      </c>
      <c r="B35" s="9">
        <f>Raw_data!F29</f>
        <v>95637.87</v>
      </c>
      <c r="C35" s="5">
        <f t="shared" si="0"/>
        <v>0</v>
      </c>
      <c r="D35" s="5">
        <f t="shared" si="1"/>
        <v>-4.3621300000000085E-2</v>
      </c>
    </row>
    <row r="36" spans="1:4" x14ac:dyDescent="0.45">
      <c r="A36" s="8">
        <f>Raw_data!A30</f>
        <v>45720</v>
      </c>
      <c r="B36" s="9">
        <f>Raw_data!F30</f>
        <v>95637.87</v>
      </c>
      <c r="C36" s="5">
        <f t="shared" si="0"/>
        <v>0</v>
      </c>
      <c r="D36" s="5">
        <f t="shared" si="1"/>
        <v>-4.3621300000000085E-2</v>
      </c>
    </row>
    <row r="37" spans="1:4" x14ac:dyDescent="0.45">
      <c r="A37" s="8">
        <f>Raw_data!A31</f>
        <v>45721</v>
      </c>
      <c r="B37" s="9">
        <f>Raw_data!F31</f>
        <v>95637.87</v>
      </c>
      <c r="C37" s="5">
        <f t="shared" si="0"/>
        <v>0</v>
      </c>
      <c r="D37" s="5">
        <f t="shared" si="1"/>
        <v>-4.3621300000000085E-2</v>
      </c>
    </row>
    <row r="38" spans="1:4" x14ac:dyDescent="0.45">
      <c r="A38" s="8">
        <f>Raw_data!A32</f>
        <v>45722</v>
      </c>
      <c r="B38" s="9">
        <f>Raw_data!F32</f>
        <v>95637.87</v>
      </c>
      <c r="C38" s="5">
        <f t="shared" si="0"/>
        <v>0</v>
      </c>
      <c r="D38" s="5">
        <f t="shared" si="1"/>
        <v>-4.3621300000000085E-2</v>
      </c>
    </row>
    <row r="39" spans="1:4" x14ac:dyDescent="0.45">
      <c r="A39" s="8">
        <f>Raw_data!A33</f>
        <v>45723</v>
      </c>
      <c r="B39" s="9">
        <f>Raw_data!F33</f>
        <v>95637.87</v>
      </c>
      <c r="C39" s="5">
        <f t="shared" si="0"/>
        <v>0</v>
      </c>
      <c r="D39" s="5">
        <f t="shared" si="1"/>
        <v>-4.3621300000000085E-2</v>
      </c>
    </row>
    <row r="40" spans="1:4" x14ac:dyDescent="0.45">
      <c r="A40" s="8">
        <f>Raw_data!A34</f>
        <v>45724</v>
      </c>
      <c r="B40" s="9">
        <f>Raw_data!F34</f>
        <v>95637.87</v>
      </c>
      <c r="C40" s="5">
        <f t="shared" si="0"/>
        <v>0</v>
      </c>
      <c r="D40" s="5">
        <f t="shared" si="1"/>
        <v>-4.3621300000000085E-2</v>
      </c>
    </row>
    <row r="41" spans="1:4" x14ac:dyDescent="0.45">
      <c r="A41" s="8">
        <f>Raw_data!A35</f>
        <v>45727</v>
      </c>
      <c r="B41" s="9">
        <f>Raw_data!F35</f>
        <v>95637.87</v>
      </c>
      <c r="C41" s="5">
        <f t="shared" si="0"/>
        <v>0</v>
      </c>
      <c r="D41" s="5">
        <f t="shared" si="1"/>
        <v>-4.3621300000000085E-2</v>
      </c>
    </row>
    <row r="42" spans="1:4" x14ac:dyDescent="0.45">
      <c r="A42" s="8">
        <f>Raw_data!A36</f>
        <v>45728</v>
      </c>
      <c r="B42" s="9">
        <f>Raw_data!F36</f>
        <v>95637.87</v>
      </c>
      <c r="C42" s="5">
        <f t="shared" si="0"/>
        <v>0</v>
      </c>
      <c r="D42" s="5">
        <f t="shared" si="1"/>
        <v>-4.3621300000000085E-2</v>
      </c>
    </row>
    <row r="43" spans="1:4" x14ac:dyDescent="0.45">
      <c r="A43" s="8">
        <f>Raw_data!A37</f>
        <v>45729</v>
      </c>
      <c r="B43" s="9">
        <f>Raw_data!F37</f>
        <v>95637.87</v>
      </c>
      <c r="C43" s="5">
        <f t="shared" si="0"/>
        <v>0</v>
      </c>
      <c r="D43" s="5">
        <f t="shared" si="1"/>
        <v>-4.3621300000000085E-2</v>
      </c>
    </row>
    <row r="44" spans="1:4" x14ac:dyDescent="0.45">
      <c r="A44" s="8">
        <f>Raw_data!A38</f>
        <v>45730</v>
      </c>
      <c r="B44" s="9">
        <f>Raw_data!F38</f>
        <v>95637.87</v>
      </c>
      <c r="C44" s="5">
        <f t="shared" si="0"/>
        <v>0</v>
      </c>
      <c r="D44" s="5">
        <f t="shared" si="1"/>
        <v>-4.3621300000000085E-2</v>
      </c>
    </row>
    <row r="45" spans="1:4" x14ac:dyDescent="0.45">
      <c r="A45" s="8">
        <f>Raw_data!A39</f>
        <v>45731</v>
      </c>
      <c r="B45" s="9">
        <f>Raw_data!F39</f>
        <v>95637.87</v>
      </c>
      <c r="C45" s="5">
        <f t="shared" si="0"/>
        <v>0</v>
      </c>
      <c r="D45" s="5">
        <f t="shared" si="1"/>
        <v>-4.3621300000000085E-2</v>
      </c>
    </row>
    <row r="46" spans="1:4" x14ac:dyDescent="0.45">
      <c r="A46" s="8">
        <f>Raw_data!A40</f>
        <v>45734</v>
      </c>
      <c r="B46" s="9">
        <f>Raw_data!F40</f>
        <v>95637.87</v>
      </c>
      <c r="C46" s="5">
        <f t="shared" si="0"/>
        <v>0</v>
      </c>
      <c r="D46" s="5">
        <f t="shared" si="1"/>
        <v>-4.3621300000000085E-2</v>
      </c>
    </row>
    <row r="47" spans="1:4" x14ac:dyDescent="0.45">
      <c r="A47" s="8">
        <f>Raw_data!A41</f>
        <v>45735</v>
      </c>
      <c r="B47" s="9">
        <f>Raw_data!F41</f>
        <v>95637.87</v>
      </c>
      <c r="C47" s="5">
        <f t="shared" si="0"/>
        <v>0</v>
      </c>
      <c r="D47" s="5">
        <f t="shared" si="1"/>
        <v>-4.3621300000000085E-2</v>
      </c>
    </row>
    <row r="48" spans="1:4" x14ac:dyDescent="0.45">
      <c r="A48" s="8">
        <f>Raw_data!A42</f>
        <v>45736</v>
      </c>
      <c r="B48" s="9">
        <f>Raw_data!F42</f>
        <v>95637.87</v>
      </c>
      <c r="C48" s="5">
        <f t="shared" si="0"/>
        <v>0</v>
      </c>
      <c r="D48" s="5">
        <f t="shared" si="1"/>
        <v>-4.3621300000000085E-2</v>
      </c>
    </row>
    <row r="49" spans="1:4" x14ac:dyDescent="0.45">
      <c r="A49" s="8">
        <f>Raw_data!A43</f>
        <v>45737</v>
      </c>
      <c r="B49" s="9">
        <f>Raw_data!F43</f>
        <v>95637.87</v>
      </c>
      <c r="C49" s="5">
        <f t="shared" si="0"/>
        <v>0</v>
      </c>
      <c r="D49" s="5">
        <f t="shared" si="1"/>
        <v>-4.3621300000000085E-2</v>
      </c>
    </row>
    <row r="50" spans="1:4" x14ac:dyDescent="0.45">
      <c r="A50" s="8">
        <f>Raw_data!A44</f>
        <v>45738</v>
      </c>
      <c r="B50" s="9">
        <f>Raw_data!F44</f>
        <v>95637.87</v>
      </c>
      <c r="C50" s="5">
        <f t="shared" si="0"/>
        <v>0</v>
      </c>
      <c r="D50" s="5">
        <f t="shared" si="1"/>
        <v>-4.3621300000000085E-2</v>
      </c>
    </row>
    <row r="51" spans="1:4" x14ac:dyDescent="0.45">
      <c r="A51" s="8">
        <f>Raw_data!A45</f>
        <v>45741</v>
      </c>
      <c r="B51" s="9">
        <f>Raw_data!F45</f>
        <v>95637.87</v>
      </c>
      <c r="C51" s="5">
        <f t="shared" si="0"/>
        <v>0</v>
      </c>
      <c r="D51" s="5">
        <f t="shared" si="1"/>
        <v>-4.3621300000000085E-2</v>
      </c>
    </row>
    <row r="52" spans="1:4" x14ac:dyDescent="0.45">
      <c r="A52" s="8">
        <f>Raw_data!A46</f>
        <v>45742</v>
      </c>
      <c r="B52" s="9">
        <f>Raw_data!F46</f>
        <v>95637.87</v>
      </c>
      <c r="C52" s="5">
        <f t="shared" si="0"/>
        <v>0</v>
      </c>
      <c r="D52" s="5">
        <f t="shared" si="1"/>
        <v>-4.3621300000000085E-2</v>
      </c>
    </row>
    <row r="53" spans="1:4" x14ac:dyDescent="0.45">
      <c r="A53" s="8">
        <f>Raw_data!A47</f>
        <v>45743</v>
      </c>
      <c r="B53" s="9">
        <f>Raw_data!F47</f>
        <v>95637.87</v>
      </c>
      <c r="C53" s="5">
        <f t="shared" si="0"/>
        <v>0</v>
      </c>
      <c r="D53" s="5">
        <f t="shared" si="1"/>
        <v>-4.3621300000000085E-2</v>
      </c>
    </row>
    <row r="54" spans="1:4" x14ac:dyDescent="0.45">
      <c r="A54" s="8">
        <f>Raw_data!A48</f>
        <v>45744</v>
      </c>
      <c r="B54" s="9">
        <f>Raw_data!F48</f>
        <v>95637.87</v>
      </c>
      <c r="C54" s="5">
        <f t="shared" si="0"/>
        <v>0</v>
      </c>
      <c r="D54" s="5">
        <f t="shared" si="1"/>
        <v>-4.3621300000000085E-2</v>
      </c>
    </row>
    <row r="55" spans="1:4" x14ac:dyDescent="0.45">
      <c r="A55" s="8">
        <f>Raw_data!A49</f>
        <v>45745</v>
      </c>
      <c r="B55" s="9">
        <f>Raw_data!F49</f>
        <v>95637.87</v>
      </c>
      <c r="C55" s="5">
        <f t="shared" si="0"/>
        <v>0</v>
      </c>
      <c r="D55" s="5">
        <f t="shared" si="1"/>
        <v>-4.3621300000000085E-2</v>
      </c>
    </row>
    <row r="56" spans="1:4" x14ac:dyDescent="0.45">
      <c r="A56" s="8">
        <f>Raw_data!A50</f>
        <v>45748</v>
      </c>
      <c r="B56" s="9">
        <f>Raw_data!F50</f>
        <v>83943.66</v>
      </c>
      <c r="C56" s="5">
        <f t="shared" si="0"/>
        <v>-0.12227593525451783</v>
      </c>
      <c r="D56" s="5">
        <f t="shared" si="1"/>
        <v>-0.16056339999999991</v>
      </c>
    </row>
    <row r="57" spans="1:4" x14ac:dyDescent="0.45">
      <c r="A57" s="8">
        <f>Raw_data!A51</f>
        <v>45749</v>
      </c>
      <c r="B57" s="9">
        <f>Raw_data!F51</f>
        <v>83943.66</v>
      </c>
      <c r="C57" s="5">
        <f t="shared" si="0"/>
        <v>0</v>
      </c>
      <c r="D57" s="5">
        <f t="shared" si="1"/>
        <v>-0.16056339999999991</v>
      </c>
    </row>
    <row r="58" spans="1:4" x14ac:dyDescent="0.45">
      <c r="A58" s="8">
        <f>Raw_data!A52</f>
        <v>45750</v>
      </c>
      <c r="B58" s="9">
        <f>Raw_data!F52</f>
        <v>83943.66</v>
      </c>
      <c r="C58" s="5">
        <f t="shared" si="0"/>
        <v>0</v>
      </c>
      <c r="D58" s="5">
        <f t="shared" si="1"/>
        <v>-0.16056339999999991</v>
      </c>
    </row>
    <row r="59" spans="1:4" x14ac:dyDescent="0.45">
      <c r="A59" s="8">
        <f>Raw_data!A53</f>
        <v>45751</v>
      </c>
      <c r="B59" s="9">
        <f>Raw_data!F53</f>
        <v>83943.66</v>
      </c>
      <c r="C59" s="5">
        <f t="shared" si="0"/>
        <v>0</v>
      </c>
      <c r="D59" s="5">
        <f t="shared" si="1"/>
        <v>-0.16056339999999991</v>
      </c>
    </row>
    <row r="60" spans="1:4" x14ac:dyDescent="0.45">
      <c r="A60" s="8">
        <f>Raw_data!A54</f>
        <v>45752</v>
      </c>
      <c r="B60" s="9">
        <f>Raw_data!F54</f>
        <v>83943.66</v>
      </c>
      <c r="C60" s="5">
        <f t="shared" si="0"/>
        <v>0</v>
      </c>
      <c r="D60" s="5">
        <f t="shared" si="1"/>
        <v>-0.16056339999999991</v>
      </c>
    </row>
    <row r="61" spans="1:4" x14ac:dyDescent="0.45">
      <c r="A61" s="8">
        <f>Raw_data!A55</f>
        <v>45755</v>
      </c>
      <c r="B61" s="9">
        <f>Raw_data!F55</f>
        <v>71637.94</v>
      </c>
      <c r="C61" s="5">
        <f t="shared" si="0"/>
        <v>-0.14659499002068768</v>
      </c>
      <c r="D61" s="5">
        <f t="shared" si="1"/>
        <v>-0.2836206</v>
      </c>
    </row>
    <row r="62" spans="1:4" x14ac:dyDescent="0.45">
      <c r="A62" s="8">
        <f>Raw_data!A56</f>
        <v>45756</v>
      </c>
      <c r="B62" s="9">
        <f>Raw_data!F56</f>
        <v>71637.94</v>
      </c>
      <c r="C62" s="5">
        <f t="shared" si="0"/>
        <v>0</v>
      </c>
      <c r="D62" s="5">
        <f t="shared" si="1"/>
        <v>-0.2836206</v>
      </c>
    </row>
    <row r="63" spans="1:4" x14ac:dyDescent="0.45">
      <c r="A63" s="8">
        <f>Raw_data!A57</f>
        <v>45757</v>
      </c>
      <c r="B63" s="9">
        <f>Raw_data!F57</f>
        <v>71637.94</v>
      </c>
      <c r="C63" s="5">
        <f t="shared" si="0"/>
        <v>0</v>
      </c>
      <c r="D63" s="5">
        <f t="shared" si="1"/>
        <v>-0.2836206</v>
      </c>
    </row>
    <row r="64" spans="1:4" x14ac:dyDescent="0.45">
      <c r="A64" s="8">
        <f>Raw_data!A58</f>
        <v>45758</v>
      </c>
      <c r="B64" s="9">
        <f>Raw_data!F58</f>
        <v>71637.94</v>
      </c>
      <c r="C64" s="5">
        <f t="shared" si="0"/>
        <v>0</v>
      </c>
      <c r="D64" s="5">
        <f t="shared" si="1"/>
        <v>-0.2836206</v>
      </c>
    </row>
    <row r="65" spans="1:4" x14ac:dyDescent="0.45">
      <c r="A65" s="8">
        <f>Raw_data!A59</f>
        <v>45759</v>
      </c>
      <c r="B65" s="9">
        <f>Raw_data!F59</f>
        <v>71637.94</v>
      </c>
      <c r="C65" s="5">
        <f t="shared" si="0"/>
        <v>0</v>
      </c>
      <c r="D65" s="5">
        <f t="shared" si="1"/>
        <v>-0.2836206</v>
      </c>
    </row>
    <row r="66" spans="1:4" x14ac:dyDescent="0.45">
      <c r="A66" s="8">
        <f>Raw_data!A60</f>
        <v>45762</v>
      </c>
      <c r="B66" s="9">
        <f>Raw_data!F60</f>
        <v>71637.94</v>
      </c>
      <c r="C66" s="5">
        <f t="shared" si="0"/>
        <v>0</v>
      </c>
      <c r="D66" s="5">
        <f t="shared" si="1"/>
        <v>-0.2836206</v>
      </c>
    </row>
    <row r="67" spans="1:4" x14ac:dyDescent="0.45">
      <c r="A67" s="8">
        <f>Raw_data!A61</f>
        <v>45763</v>
      </c>
      <c r="B67" s="9">
        <f>Raw_data!F61</f>
        <v>71637.94</v>
      </c>
      <c r="C67" s="5">
        <f t="shared" si="0"/>
        <v>0</v>
      </c>
      <c r="D67" s="5">
        <f t="shared" si="1"/>
        <v>-0.2836206</v>
      </c>
    </row>
    <row r="68" spans="1:4" x14ac:dyDescent="0.45">
      <c r="A68" s="8">
        <f>Raw_data!A62</f>
        <v>45764</v>
      </c>
      <c r="B68" s="9">
        <f>Raw_data!F62</f>
        <v>71637.94</v>
      </c>
      <c r="C68" s="5">
        <f t="shared" si="0"/>
        <v>0</v>
      </c>
      <c r="D68" s="5">
        <f t="shared" si="1"/>
        <v>-0.2836206</v>
      </c>
    </row>
    <row r="69" spans="1:4" x14ac:dyDescent="0.45">
      <c r="A69" s="8">
        <f>Raw_data!A63</f>
        <v>45765</v>
      </c>
      <c r="B69" s="9">
        <f>Raw_data!F63</f>
        <v>71637.94</v>
      </c>
      <c r="C69" s="5">
        <f t="shared" si="0"/>
        <v>0</v>
      </c>
      <c r="D69" s="5">
        <f t="shared" si="1"/>
        <v>-0.2836206</v>
      </c>
    </row>
    <row r="70" spans="1:4" x14ac:dyDescent="0.45">
      <c r="A70" s="8">
        <f>Raw_data!A64</f>
        <v>45766</v>
      </c>
      <c r="B70" s="9">
        <f>Raw_data!F64</f>
        <v>71637.94</v>
      </c>
      <c r="C70" s="5">
        <f t="shared" si="0"/>
        <v>0</v>
      </c>
      <c r="D70" s="5">
        <f t="shared" si="1"/>
        <v>-0.2836206</v>
      </c>
    </row>
    <row r="71" spans="1:4" x14ac:dyDescent="0.45">
      <c r="A71" s="8">
        <f>Raw_data!A65</f>
        <v>45769</v>
      </c>
      <c r="B71" s="9">
        <f>Raw_data!F65</f>
        <v>71637.94</v>
      </c>
      <c r="C71" s="5">
        <f t="shared" si="0"/>
        <v>0</v>
      </c>
      <c r="D71" s="5">
        <f t="shared" si="1"/>
        <v>-0.2836206</v>
      </c>
    </row>
    <row r="72" spans="1:4" x14ac:dyDescent="0.45">
      <c r="A72" s="8">
        <f>Raw_data!A66</f>
        <v>45770</v>
      </c>
      <c r="B72" s="9">
        <f>Raw_data!F66</f>
        <v>71637.94</v>
      </c>
      <c r="C72" s="5">
        <f t="shared" si="0"/>
        <v>0</v>
      </c>
      <c r="D72" s="5">
        <f t="shared" si="1"/>
        <v>-0.2836206</v>
      </c>
    </row>
    <row r="73" spans="1:4" x14ac:dyDescent="0.45">
      <c r="A73" s="8">
        <f>Raw_data!A67</f>
        <v>45771</v>
      </c>
      <c r="B73" s="9">
        <f>Raw_data!F67</f>
        <v>71637.94</v>
      </c>
      <c r="C73" s="5">
        <f t="shared" si="0"/>
        <v>0</v>
      </c>
      <c r="D73" s="5">
        <f t="shared" si="1"/>
        <v>-0.2836206</v>
      </c>
    </row>
    <row r="74" spans="1:4" x14ac:dyDescent="0.45">
      <c r="A74" s="8">
        <f>Raw_data!A68</f>
        <v>45772</v>
      </c>
      <c r="B74" s="9">
        <f>Raw_data!F68</f>
        <v>71637.94</v>
      </c>
      <c r="C74" s="5">
        <f t="shared" ref="C74:C137" si="2">(B74-B73)/B73</f>
        <v>0</v>
      </c>
      <c r="D74" s="5">
        <f t="shared" ref="D74:D137" si="3">(B74/B$8)-1</f>
        <v>-0.2836206</v>
      </c>
    </row>
    <row r="75" spans="1:4" x14ac:dyDescent="0.45">
      <c r="A75" s="8">
        <f>Raw_data!A69</f>
        <v>45773</v>
      </c>
      <c r="B75" s="9">
        <f>Raw_data!F69</f>
        <v>71637.94</v>
      </c>
      <c r="C75" s="5">
        <f t="shared" si="2"/>
        <v>0</v>
      </c>
      <c r="D75" s="5">
        <f t="shared" si="3"/>
        <v>-0.2836206</v>
      </c>
    </row>
    <row r="76" spans="1:4" x14ac:dyDescent="0.45">
      <c r="A76" s="8">
        <f>Raw_data!A70</f>
        <v>45776</v>
      </c>
      <c r="B76" s="9">
        <f>Raw_data!F70</f>
        <v>71637.94</v>
      </c>
      <c r="C76" s="5">
        <f t="shared" si="2"/>
        <v>0</v>
      </c>
      <c r="D76" s="5">
        <f t="shared" si="3"/>
        <v>-0.2836206</v>
      </c>
    </row>
    <row r="77" spans="1:4" x14ac:dyDescent="0.45">
      <c r="A77" s="8">
        <f>Raw_data!A71</f>
        <v>45777</v>
      </c>
      <c r="B77" s="9">
        <f>Raw_data!F71</f>
        <v>71637.94</v>
      </c>
      <c r="C77" s="5">
        <f t="shared" si="2"/>
        <v>0</v>
      </c>
      <c r="D77" s="5">
        <f t="shared" si="3"/>
        <v>-0.2836206</v>
      </c>
    </row>
    <row r="78" spans="1:4" x14ac:dyDescent="0.45">
      <c r="A78" s="8">
        <f>Raw_data!A72</f>
        <v>45778</v>
      </c>
      <c r="B78" s="9">
        <f>Raw_data!F72</f>
        <v>71637.94</v>
      </c>
      <c r="C78" s="5">
        <f t="shared" si="2"/>
        <v>0</v>
      </c>
      <c r="D78" s="5">
        <f t="shared" si="3"/>
        <v>-0.2836206</v>
      </c>
    </row>
    <row r="79" spans="1:4" x14ac:dyDescent="0.45">
      <c r="A79" s="8">
        <f>Raw_data!A73</f>
        <v>45779</v>
      </c>
      <c r="B79" s="9">
        <f>Raw_data!F73</f>
        <v>71637.94</v>
      </c>
      <c r="C79" s="5">
        <f t="shared" si="2"/>
        <v>0</v>
      </c>
      <c r="D79" s="5">
        <f t="shared" si="3"/>
        <v>-0.2836206</v>
      </c>
    </row>
    <row r="80" spans="1:4" x14ac:dyDescent="0.45">
      <c r="A80" s="8">
        <f>Raw_data!A74</f>
        <v>45780</v>
      </c>
      <c r="B80" s="9">
        <f>Raw_data!F74</f>
        <v>71637.94</v>
      </c>
      <c r="C80" s="5">
        <f t="shared" si="2"/>
        <v>0</v>
      </c>
      <c r="D80" s="5">
        <f t="shared" si="3"/>
        <v>-0.2836206</v>
      </c>
    </row>
    <row r="81" spans="1:4" x14ac:dyDescent="0.45">
      <c r="A81" s="8">
        <f>Raw_data!A75</f>
        <v>45783</v>
      </c>
      <c r="B81" s="9">
        <f>Raw_data!F75</f>
        <v>71637.94</v>
      </c>
      <c r="C81" s="5">
        <f t="shared" si="2"/>
        <v>0</v>
      </c>
      <c r="D81" s="5">
        <f t="shared" si="3"/>
        <v>-0.2836206</v>
      </c>
    </row>
    <row r="82" spans="1:4" x14ac:dyDescent="0.45">
      <c r="A82" s="8">
        <f>Raw_data!A76</f>
        <v>45784</v>
      </c>
      <c r="B82" s="9">
        <f>Raw_data!F76</f>
        <v>71637.94</v>
      </c>
      <c r="C82" s="5">
        <f t="shared" si="2"/>
        <v>0</v>
      </c>
      <c r="D82" s="5">
        <f t="shared" si="3"/>
        <v>-0.2836206</v>
      </c>
    </row>
    <row r="83" spans="1:4" x14ac:dyDescent="0.45">
      <c r="A83" s="8">
        <f>Raw_data!A77</f>
        <v>45785</v>
      </c>
      <c r="B83" s="9">
        <f>Raw_data!F77</f>
        <v>71637.94</v>
      </c>
      <c r="C83" s="5">
        <f t="shared" si="2"/>
        <v>0</v>
      </c>
      <c r="D83" s="5">
        <f t="shared" si="3"/>
        <v>-0.2836206</v>
      </c>
    </row>
    <row r="84" spans="1:4" x14ac:dyDescent="0.45">
      <c r="A84" s="8">
        <f>Raw_data!A78</f>
        <v>45786</v>
      </c>
      <c r="B84" s="9">
        <f>Raw_data!F78</f>
        <v>71637.94</v>
      </c>
      <c r="C84" s="5">
        <f t="shared" si="2"/>
        <v>0</v>
      </c>
      <c r="D84" s="5">
        <f t="shared" si="3"/>
        <v>-0.2836206</v>
      </c>
    </row>
    <row r="85" spans="1:4" x14ac:dyDescent="0.45">
      <c r="A85" s="8">
        <f>Raw_data!A79</f>
        <v>45787</v>
      </c>
      <c r="B85" s="9">
        <f>Raw_data!F79</f>
        <v>71637.94</v>
      </c>
      <c r="C85" s="5">
        <f t="shared" si="2"/>
        <v>0</v>
      </c>
      <c r="D85" s="5">
        <f t="shared" si="3"/>
        <v>-0.2836206</v>
      </c>
    </row>
    <row r="86" spans="1:4" x14ac:dyDescent="0.45">
      <c r="A86" s="8">
        <f>Raw_data!A80</f>
        <v>45790</v>
      </c>
      <c r="B86" s="9">
        <f>Raw_data!F80</f>
        <v>92769.27</v>
      </c>
      <c r="C86" s="5">
        <f t="shared" si="2"/>
        <v>0.29497400399843993</v>
      </c>
      <c r="D86" s="5">
        <f t="shared" si="3"/>
        <v>-7.2307299999999963E-2</v>
      </c>
    </row>
    <row r="87" spans="1:4" x14ac:dyDescent="0.45">
      <c r="A87" s="8">
        <f>Raw_data!A81</f>
        <v>45791</v>
      </c>
      <c r="B87" s="9">
        <f>Raw_data!F81</f>
        <v>95905.68</v>
      </c>
      <c r="C87" s="5">
        <f t="shared" si="2"/>
        <v>3.3808717046064807E-2</v>
      </c>
      <c r="D87" s="5">
        <f t="shared" si="3"/>
        <v>-4.0943200000000068E-2</v>
      </c>
    </row>
    <row r="88" spans="1:4" x14ac:dyDescent="0.45">
      <c r="A88" s="8">
        <f>Raw_data!A82</f>
        <v>45792</v>
      </c>
      <c r="B88" s="9">
        <f>Raw_data!F82</f>
        <v>97766.9</v>
      </c>
      <c r="C88" s="5">
        <f t="shared" si="2"/>
        <v>1.940677549025252E-2</v>
      </c>
      <c r="D88" s="5">
        <f t="shared" si="3"/>
        <v>-2.2331000000000101E-2</v>
      </c>
    </row>
    <row r="89" spans="1:4" x14ac:dyDescent="0.45">
      <c r="A89" s="8">
        <f>Raw_data!A83</f>
        <v>45793</v>
      </c>
      <c r="B89" s="9">
        <f>Raw_data!F83</f>
        <v>97669.38</v>
      </c>
      <c r="C89" s="5">
        <f t="shared" si="2"/>
        <v>-9.9747460541338147E-4</v>
      </c>
      <c r="D89" s="5">
        <f t="shared" si="3"/>
        <v>-2.3306199999999944E-2</v>
      </c>
    </row>
    <row r="90" spans="1:4" x14ac:dyDescent="0.45">
      <c r="A90" s="8">
        <f>Raw_data!A84</f>
        <v>45794</v>
      </c>
      <c r="B90" s="9">
        <f>Raw_data!F84</f>
        <v>98406.97</v>
      </c>
      <c r="C90" s="5">
        <f t="shared" si="2"/>
        <v>7.5519062371440923E-3</v>
      </c>
      <c r="D90" s="5">
        <f t="shared" si="3"/>
        <v>-1.5930299999999953E-2</v>
      </c>
    </row>
    <row r="91" spans="1:4" x14ac:dyDescent="0.45">
      <c r="A91" s="8">
        <f>Raw_data!A85</f>
        <v>45797</v>
      </c>
      <c r="B91" s="9">
        <f>Raw_data!F85</f>
        <v>97358.07</v>
      </c>
      <c r="C91" s="5">
        <f t="shared" si="2"/>
        <v>-1.0658797847347542E-2</v>
      </c>
      <c r="D91" s="5">
        <f t="shared" si="3"/>
        <v>-2.6419299999999923E-2</v>
      </c>
    </row>
    <row r="92" spans="1:4" x14ac:dyDescent="0.45">
      <c r="A92" s="8">
        <f>Raw_data!A86</f>
        <v>45798</v>
      </c>
      <c r="B92" s="9">
        <f>Raw_data!F86</f>
        <v>97719.38</v>
      </c>
      <c r="C92" s="5">
        <f t="shared" si="2"/>
        <v>3.7111458762483442E-3</v>
      </c>
      <c r="D92" s="5">
        <f t="shared" si="3"/>
        <v>-2.2806199999999999E-2</v>
      </c>
    </row>
    <row r="93" spans="1:4" x14ac:dyDescent="0.45">
      <c r="A93" s="8">
        <f>Raw_data!A87</f>
        <v>45799</v>
      </c>
      <c r="B93" s="9">
        <f>Raw_data!F87</f>
        <v>95796.92</v>
      </c>
      <c r="C93" s="5">
        <f t="shared" si="2"/>
        <v>-1.9673272589326767E-2</v>
      </c>
      <c r="D93" s="5">
        <f t="shared" si="3"/>
        <v>-4.2030800000000035E-2</v>
      </c>
    </row>
    <row r="94" spans="1:4" x14ac:dyDescent="0.45">
      <c r="A94" s="8">
        <f>Raw_data!A88</f>
        <v>45800</v>
      </c>
      <c r="B94" s="9">
        <f>Raw_data!F88</f>
        <v>96394.68</v>
      </c>
      <c r="C94" s="5">
        <f t="shared" si="2"/>
        <v>6.2398665844371065E-3</v>
      </c>
      <c r="D94" s="5">
        <f t="shared" si="3"/>
        <v>-3.6053200000000118E-2</v>
      </c>
    </row>
    <row r="95" spans="1:4" x14ac:dyDescent="0.45">
      <c r="A95" s="8">
        <f>Raw_data!A89</f>
        <v>45801</v>
      </c>
      <c r="B95" s="9">
        <f>Raw_data!F89</f>
        <v>95982.02</v>
      </c>
      <c r="C95" s="5">
        <f t="shared" si="2"/>
        <v>-4.2809416453272004E-3</v>
      </c>
      <c r="D95" s="5">
        <f t="shared" si="3"/>
        <v>-4.0179799999999988E-2</v>
      </c>
    </row>
    <row r="96" spans="1:4" x14ac:dyDescent="0.45">
      <c r="A96" s="8">
        <f>Raw_data!A90</f>
        <v>45804</v>
      </c>
      <c r="B96" s="9">
        <f>Raw_data!F90</f>
        <v>95935.02</v>
      </c>
      <c r="C96" s="5">
        <f t="shared" si="2"/>
        <v>-4.8967504538870925E-4</v>
      </c>
      <c r="D96" s="5">
        <f t="shared" si="3"/>
        <v>-4.0649799999999958E-2</v>
      </c>
    </row>
    <row r="97" spans="1:4" x14ac:dyDescent="0.45">
      <c r="A97" s="8">
        <f>Raw_data!A91</f>
        <v>45805</v>
      </c>
      <c r="B97" s="9">
        <f>Raw_data!F91</f>
        <v>98038.32</v>
      </c>
      <c r="C97" s="5">
        <f t="shared" si="2"/>
        <v>2.1924214952996339E-2</v>
      </c>
      <c r="D97" s="5">
        <f t="shared" si="3"/>
        <v>-1.9616799999999879E-2</v>
      </c>
    </row>
    <row r="98" spans="1:4" x14ac:dyDescent="0.45">
      <c r="A98" s="8">
        <f>Raw_data!A92</f>
        <v>45806</v>
      </c>
      <c r="B98" s="9">
        <f>Raw_data!F92</f>
        <v>97118.95</v>
      </c>
      <c r="C98" s="5">
        <f t="shared" si="2"/>
        <v>-9.3776596742988841E-3</v>
      </c>
      <c r="D98" s="5">
        <f t="shared" si="3"/>
        <v>-2.8810500000000072E-2</v>
      </c>
    </row>
    <row r="99" spans="1:4" x14ac:dyDescent="0.45">
      <c r="A99" s="8">
        <f>Raw_data!A93</f>
        <v>45807</v>
      </c>
      <c r="B99" s="9">
        <f>Raw_data!F93</f>
        <v>98937</v>
      </c>
      <c r="C99" s="5">
        <f t="shared" si="2"/>
        <v>1.8719827592864245E-2</v>
      </c>
      <c r="D99" s="5">
        <f t="shared" si="3"/>
        <v>-1.0630000000000028E-2</v>
      </c>
    </row>
    <row r="100" spans="1:4" x14ac:dyDescent="0.45">
      <c r="A100" s="8">
        <f>Raw_data!A94</f>
        <v>45808</v>
      </c>
      <c r="B100" s="9">
        <f>Raw_data!F94</f>
        <v>96991.28</v>
      </c>
      <c r="C100" s="5">
        <f t="shared" si="2"/>
        <v>-1.9666252261540184E-2</v>
      </c>
      <c r="D100" s="5">
        <f t="shared" si="3"/>
        <v>-3.0087199999999981E-2</v>
      </c>
    </row>
    <row r="101" spans="1:4" x14ac:dyDescent="0.45">
      <c r="A101" s="8">
        <f>Raw_data!A95</f>
        <v>45811</v>
      </c>
      <c r="B101" s="9">
        <f>Raw_data!F95</f>
        <v>97342.28</v>
      </c>
      <c r="C101" s="5">
        <f t="shared" si="2"/>
        <v>3.6188820273327666E-3</v>
      </c>
      <c r="D101" s="5">
        <f t="shared" si="3"/>
        <v>-2.6577199999999968E-2</v>
      </c>
    </row>
    <row r="102" spans="1:4" x14ac:dyDescent="0.45">
      <c r="A102" s="8">
        <f>Raw_data!A96</f>
        <v>45812</v>
      </c>
      <c r="B102" s="9">
        <f>Raw_data!F96</f>
        <v>97882.61</v>
      </c>
      <c r="C102" s="5">
        <f t="shared" si="2"/>
        <v>5.5508253967340992E-3</v>
      </c>
      <c r="D102" s="5">
        <f t="shared" si="3"/>
        <v>-2.1173899999999968E-2</v>
      </c>
    </row>
    <row r="103" spans="1:4" x14ac:dyDescent="0.45">
      <c r="A103" s="8">
        <f>Raw_data!A97</f>
        <v>45813</v>
      </c>
      <c r="B103" s="9">
        <f>Raw_data!F97</f>
        <v>96245.92</v>
      </c>
      <c r="C103" s="5">
        <f t="shared" si="2"/>
        <v>-1.6720947673953549E-2</v>
      </c>
      <c r="D103" s="5">
        <f t="shared" si="3"/>
        <v>-3.7540800000000041E-2</v>
      </c>
    </row>
    <row r="104" spans="1:4" x14ac:dyDescent="0.45">
      <c r="A104" s="8">
        <f>Raw_data!A98</f>
        <v>45814</v>
      </c>
      <c r="B104" s="9">
        <f>Raw_data!F98</f>
        <v>90865.7</v>
      </c>
      <c r="C104" s="5">
        <f t="shared" si="2"/>
        <v>-5.5900759221793515E-2</v>
      </c>
      <c r="D104" s="5">
        <f t="shared" si="3"/>
        <v>-9.1343000000000063E-2</v>
      </c>
    </row>
    <row r="105" spans="1:4" x14ac:dyDescent="0.45">
      <c r="A105" s="8">
        <f>Raw_data!A99</f>
        <v>45815</v>
      </c>
      <c r="B105" s="9">
        <f>Raw_data!F99</f>
        <v>92714.58</v>
      </c>
      <c r="C105" s="5">
        <f t="shared" si="2"/>
        <v>2.0347391810111019E-2</v>
      </c>
      <c r="D105" s="5">
        <f t="shared" si="3"/>
        <v>-7.285419999999998E-2</v>
      </c>
    </row>
    <row r="106" spans="1:4" x14ac:dyDescent="0.45">
      <c r="A106" s="8">
        <f>Raw_data!A100</f>
        <v>45818</v>
      </c>
      <c r="B106" s="9">
        <f>Raw_data!F100</f>
        <v>95431.35</v>
      </c>
      <c r="C106" s="5">
        <f t="shared" si="2"/>
        <v>2.9302510996652351E-2</v>
      </c>
      <c r="D106" s="5">
        <f t="shared" si="3"/>
        <v>-4.5686499999999963E-2</v>
      </c>
    </row>
    <row r="107" spans="1:4" x14ac:dyDescent="0.45">
      <c r="A107" s="8">
        <f>Raw_data!A101</f>
        <v>45819</v>
      </c>
      <c r="B107" s="9">
        <f>Raw_data!F101</f>
        <v>96803.83</v>
      </c>
      <c r="C107" s="5">
        <f t="shared" si="2"/>
        <v>1.4381856695938975E-2</v>
      </c>
      <c r="D107" s="5">
        <f t="shared" si="3"/>
        <v>-3.1961699999999982E-2</v>
      </c>
    </row>
    <row r="108" spans="1:4" x14ac:dyDescent="0.45">
      <c r="A108" s="8">
        <f>Raw_data!A102</f>
        <v>45820</v>
      </c>
      <c r="B108" s="9">
        <f>Raw_data!F102</f>
        <v>96554.98</v>
      </c>
      <c r="C108" s="5">
        <f t="shared" si="2"/>
        <v>-2.5706627516701129E-3</v>
      </c>
      <c r="D108" s="5">
        <f t="shared" si="3"/>
        <v>-3.4450199999999986E-2</v>
      </c>
    </row>
    <row r="109" spans="1:4" x14ac:dyDescent="0.45">
      <c r="A109" s="8">
        <f>Raw_data!A103</f>
        <v>45821</v>
      </c>
      <c r="B109" s="9">
        <f>Raw_data!F103</f>
        <v>94098.41</v>
      </c>
      <c r="C109" s="5">
        <f t="shared" si="2"/>
        <v>-2.5442188481629768E-2</v>
      </c>
      <c r="D109" s="5">
        <f t="shared" si="3"/>
        <v>-5.901590000000001E-2</v>
      </c>
    </row>
    <row r="110" spans="1:4" x14ac:dyDescent="0.45">
      <c r="A110" s="8">
        <f>Raw_data!A104</f>
        <v>45822</v>
      </c>
      <c r="B110" s="9">
        <f>Raw_data!F104</f>
        <v>93731.67</v>
      </c>
      <c r="C110" s="5">
        <f t="shared" si="2"/>
        <v>-3.8974091060625278E-3</v>
      </c>
      <c r="D110" s="5">
        <f t="shared" si="3"/>
        <v>-6.2683299999999997E-2</v>
      </c>
    </row>
    <row r="111" spans="1:4" x14ac:dyDescent="0.45">
      <c r="A111" s="8">
        <f>Raw_data!A105</f>
        <v>45825</v>
      </c>
      <c r="B111" s="9">
        <f>Raw_data!F105</f>
        <v>94713.65</v>
      </c>
      <c r="C111" s="5">
        <f t="shared" si="2"/>
        <v>1.0476501698945468E-2</v>
      </c>
      <c r="D111" s="5">
        <f t="shared" si="3"/>
        <v>-5.2863500000000063E-2</v>
      </c>
    </row>
    <row r="112" spans="1:4" x14ac:dyDescent="0.45">
      <c r="A112" s="8">
        <f>Raw_data!A106</f>
        <v>45826</v>
      </c>
      <c r="B112" s="9">
        <f>Raw_data!F106</f>
        <v>92741.61</v>
      </c>
      <c r="C112" s="5">
        <f t="shared" si="2"/>
        <v>-2.0821074892584054E-2</v>
      </c>
      <c r="D112" s="5">
        <f t="shared" si="3"/>
        <v>-7.2583900000000035E-2</v>
      </c>
    </row>
    <row r="113" spans="1:4" x14ac:dyDescent="0.45">
      <c r="A113" s="8">
        <f>Raw_data!A107</f>
        <v>45827</v>
      </c>
      <c r="B113" s="9">
        <f>Raw_data!F107</f>
        <v>92945.33</v>
      </c>
      <c r="C113" s="5">
        <f t="shared" si="2"/>
        <v>2.1966407527322543E-3</v>
      </c>
      <c r="D113" s="5">
        <f t="shared" si="3"/>
        <v>-7.0546699999999962E-2</v>
      </c>
    </row>
    <row r="114" spans="1:4" x14ac:dyDescent="0.45">
      <c r="A114" s="8">
        <f>Raw_data!A108</f>
        <v>45828</v>
      </c>
      <c r="B114" s="9">
        <f>Raw_data!F108</f>
        <v>92945.33</v>
      </c>
      <c r="C114" s="5">
        <f t="shared" si="2"/>
        <v>0</v>
      </c>
      <c r="D114" s="5">
        <f t="shared" si="3"/>
        <v>-7.0546699999999962E-2</v>
      </c>
    </row>
    <row r="115" spans="1:4" x14ac:dyDescent="0.45">
      <c r="A115" s="8">
        <f>Raw_data!A109</f>
        <v>45829</v>
      </c>
      <c r="B115" s="9">
        <f>Raw_data!F109</f>
        <v>92806.32</v>
      </c>
      <c r="C115" s="5">
        <f t="shared" si="2"/>
        <v>-1.4956103765514067E-3</v>
      </c>
      <c r="D115" s="5">
        <f t="shared" si="3"/>
        <v>-7.1936799999999912E-2</v>
      </c>
    </row>
    <row r="116" spans="1:4" x14ac:dyDescent="0.45">
      <c r="A116" s="8">
        <f>Raw_data!A110</f>
        <v>45832</v>
      </c>
      <c r="B116" s="9">
        <f>Raw_data!F110</f>
        <v>95834.16</v>
      </c>
      <c r="C116" s="5">
        <f t="shared" si="2"/>
        <v>3.2625364307085944E-2</v>
      </c>
      <c r="D116" s="5">
        <f t="shared" si="3"/>
        <v>-4.1658399999999984E-2</v>
      </c>
    </row>
    <row r="117" spans="1:4" x14ac:dyDescent="0.45">
      <c r="A117" s="8">
        <f>Raw_data!A111</f>
        <v>45833</v>
      </c>
      <c r="B117" s="9">
        <f>Raw_data!F111</f>
        <v>95480.59</v>
      </c>
      <c r="C117" s="5">
        <f t="shared" si="2"/>
        <v>-3.6893942619208742E-3</v>
      </c>
      <c r="D117" s="5">
        <f t="shared" si="3"/>
        <v>-4.5194100000000015E-2</v>
      </c>
    </row>
    <row r="118" spans="1:4" x14ac:dyDescent="0.45">
      <c r="A118" s="8">
        <f>Raw_data!A112</f>
        <v>45834</v>
      </c>
      <c r="B118" s="9">
        <f>Raw_data!F112</f>
        <v>93822.15</v>
      </c>
      <c r="C118" s="5">
        <f t="shared" si="2"/>
        <v>-1.7369394135499188E-2</v>
      </c>
      <c r="D118" s="5">
        <f t="shared" si="3"/>
        <v>-6.1778500000000069E-2</v>
      </c>
    </row>
    <row r="119" spans="1:4" x14ac:dyDescent="0.45">
      <c r="A119" s="8">
        <f>Raw_data!A113</f>
        <v>45835</v>
      </c>
      <c r="B119" s="9">
        <f>Raw_data!F113</f>
        <v>94642.41</v>
      </c>
      <c r="C119" s="5">
        <f t="shared" si="2"/>
        <v>8.7427116091457011E-3</v>
      </c>
      <c r="D119" s="5">
        <f t="shared" si="3"/>
        <v>-5.357590000000001E-2</v>
      </c>
    </row>
    <row r="120" spans="1:4" x14ac:dyDescent="0.45">
      <c r="A120" s="8">
        <f>Raw_data!A114</f>
        <v>45836</v>
      </c>
      <c r="B120" s="9">
        <f>Raw_data!F114</f>
        <v>96799.52</v>
      </c>
      <c r="C120" s="5">
        <f t="shared" si="2"/>
        <v>2.2792213342834364E-2</v>
      </c>
      <c r="D120" s="5">
        <f t="shared" si="3"/>
        <v>-3.2004799999999944E-2</v>
      </c>
    </row>
    <row r="121" spans="1:4" x14ac:dyDescent="0.45">
      <c r="A121" s="8">
        <f>Raw_data!A115</f>
        <v>45839</v>
      </c>
      <c r="B121" s="9">
        <f>Raw_data!F115</f>
        <v>95310.44</v>
      </c>
      <c r="C121" s="5">
        <f t="shared" si="2"/>
        <v>-1.5383134131243644E-2</v>
      </c>
      <c r="D121" s="5">
        <f t="shared" si="3"/>
        <v>-4.6895599999999926E-2</v>
      </c>
    </row>
    <row r="122" spans="1:4" x14ac:dyDescent="0.45">
      <c r="A122" s="8">
        <f>Raw_data!A116</f>
        <v>45840</v>
      </c>
      <c r="B122" s="9">
        <f>Raw_data!F116</f>
        <v>93487.22</v>
      </c>
      <c r="C122" s="5">
        <f t="shared" si="2"/>
        <v>-1.9129279017073064E-2</v>
      </c>
      <c r="D122" s="5">
        <f t="shared" si="3"/>
        <v>-6.5127799999999958E-2</v>
      </c>
    </row>
    <row r="123" spans="1:4" x14ac:dyDescent="0.45">
      <c r="A123" s="8">
        <f>Raw_data!A117</f>
        <v>45841</v>
      </c>
      <c r="B123" s="9">
        <f>Raw_data!F117</f>
        <v>95319.94</v>
      </c>
      <c r="C123" s="5">
        <f t="shared" si="2"/>
        <v>1.960396298018062E-2</v>
      </c>
      <c r="D123" s="5">
        <f t="shared" si="3"/>
        <v>-4.680059999999997E-2</v>
      </c>
    </row>
    <row r="124" spans="1:4" x14ac:dyDescent="0.45">
      <c r="A124" s="8">
        <f>Raw_data!A118</f>
        <v>45842</v>
      </c>
      <c r="B124" s="9">
        <f>Raw_data!F118</f>
        <v>96392.13</v>
      </c>
      <c r="C124" s="5">
        <f t="shared" si="2"/>
        <v>1.1248328523916426E-2</v>
      </c>
      <c r="D124" s="5">
        <f t="shared" si="3"/>
        <v>-3.6078699999999908E-2</v>
      </c>
    </row>
    <row r="125" spans="1:4" x14ac:dyDescent="0.45">
      <c r="A125" s="8">
        <f>Raw_data!A119</f>
        <v>45843</v>
      </c>
      <c r="B125" s="9">
        <f>Raw_data!F119</f>
        <v>96392.13</v>
      </c>
      <c r="C125" s="5">
        <f t="shared" si="2"/>
        <v>0</v>
      </c>
      <c r="D125" s="5">
        <f t="shared" si="3"/>
        <v>-3.6078699999999908E-2</v>
      </c>
    </row>
    <row r="126" spans="1:4" x14ac:dyDescent="0.45">
      <c r="A126" s="8">
        <f>Raw_data!A120</f>
        <v>45846</v>
      </c>
      <c r="B126" s="9">
        <f>Raw_data!F120</f>
        <v>94625.41</v>
      </c>
      <c r="C126" s="5">
        <f t="shared" si="2"/>
        <v>-1.8328467272172543E-2</v>
      </c>
      <c r="D126" s="5">
        <f t="shared" si="3"/>
        <v>-5.3745900000000013E-2</v>
      </c>
    </row>
    <row r="127" spans="1:4" x14ac:dyDescent="0.45">
      <c r="A127" s="8">
        <f>Raw_data!A121</f>
        <v>45847</v>
      </c>
      <c r="B127" s="9">
        <f>Raw_data!F121</f>
        <v>95553.27</v>
      </c>
      <c r="C127" s="5">
        <f t="shared" si="2"/>
        <v>9.8056114102966687E-3</v>
      </c>
      <c r="D127" s="5">
        <f t="shared" si="3"/>
        <v>-4.4467299999999987E-2</v>
      </c>
    </row>
    <row r="128" spans="1:4" x14ac:dyDescent="0.45">
      <c r="A128" s="8">
        <f>Raw_data!A122</f>
        <v>45848</v>
      </c>
      <c r="B128" s="9">
        <f>Raw_data!F122</f>
        <v>97167.7</v>
      </c>
      <c r="C128" s="5">
        <f t="shared" si="2"/>
        <v>1.6895601793638176E-2</v>
      </c>
      <c r="D128" s="5">
        <f t="shared" si="3"/>
        <v>-2.8322999999999987E-2</v>
      </c>
    </row>
    <row r="129" spans="1:4" x14ac:dyDescent="0.45">
      <c r="A129" s="8">
        <f>Raw_data!A123</f>
        <v>45849</v>
      </c>
      <c r="B129" s="9">
        <f>Raw_data!F123</f>
        <v>98559.86</v>
      </c>
      <c r="C129" s="5">
        <f t="shared" si="2"/>
        <v>1.4327394803005562E-2</v>
      </c>
      <c r="D129" s="5">
        <f t="shared" si="3"/>
        <v>-1.4401400000000009E-2</v>
      </c>
    </row>
    <row r="130" spans="1:4" x14ac:dyDescent="0.45">
      <c r="A130" s="8">
        <f>Raw_data!A124</f>
        <v>45850</v>
      </c>
      <c r="B130" s="9">
        <f>Raw_data!F124</f>
        <v>99134.24</v>
      </c>
      <c r="C130" s="5">
        <f t="shared" si="2"/>
        <v>5.8277274338661257E-3</v>
      </c>
      <c r="D130" s="5">
        <f t="shared" si="3"/>
        <v>-8.657599999999932E-3</v>
      </c>
    </row>
    <row r="131" spans="1:4" x14ac:dyDescent="0.45">
      <c r="A131" s="8">
        <f>Raw_data!A125</f>
        <v>45853</v>
      </c>
      <c r="B131" s="9">
        <f>Raw_data!F125</f>
        <v>99888.85</v>
      </c>
      <c r="C131" s="5">
        <f t="shared" si="2"/>
        <v>7.6120016656202796E-3</v>
      </c>
      <c r="D131" s="5">
        <f t="shared" si="3"/>
        <v>-1.111499999999932E-3</v>
      </c>
    </row>
    <row r="132" spans="1:4" x14ac:dyDescent="0.45">
      <c r="A132" s="8">
        <f>Raw_data!A126</f>
        <v>45854</v>
      </c>
      <c r="B132" s="9">
        <f>Raw_data!F126</f>
        <v>99132.64</v>
      </c>
      <c r="C132" s="5">
        <f t="shared" si="2"/>
        <v>-7.5705146270079833E-3</v>
      </c>
      <c r="D132" s="5">
        <f t="shared" si="3"/>
        <v>-8.673600000000059E-3</v>
      </c>
    </row>
    <row r="133" spans="1:4" x14ac:dyDescent="0.45">
      <c r="A133" s="8">
        <f>Raw_data!A127</f>
        <v>45855</v>
      </c>
      <c r="B133" s="9">
        <f>Raw_data!F127</f>
        <v>100464.67</v>
      </c>
      <c r="C133" s="5">
        <f t="shared" si="2"/>
        <v>1.3436845825956001E-2</v>
      </c>
      <c r="D133" s="5">
        <f t="shared" si="3"/>
        <v>4.6466999999998926E-3</v>
      </c>
    </row>
    <row r="134" spans="1:4" x14ac:dyDescent="0.45">
      <c r="A134" s="8">
        <f>Raw_data!A128</f>
        <v>45856</v>
      </c>
      <c r="B134" s="9">
        <f>Raw_data!F128</f>
        <v>100700.34</v>
      </c>
      <c r="C134" s="5">
        <f t="shared" si="2"/>
        <v>2.3457997721985078E-3</v>
      </c>
      <c r="D134" s="5">
        <f t="shared" si="3"/>
        <v>7.0033999999998819E-3</v>
      </c>
    </row>
    <row r="135" spans="1:4" x14ac:dyDescent="0.45">
      <c r="A135" s="8">
        <f>Raw_data!A129</f>
        <v>45857</v>
      </c>
      <c r="B135" s="9">
        <f>Raw_data!F129</f>
        <v>101332.66</v>
      </c>
      <c r="C135" s="5">
        <f t="shared" si="2"/>
        <v>6.2792240820637446E-3</v>
      </c>
      <c r="D135" s="5">
        <f t="shared" si="3"/>
        <v>1.3326600000000077E-2</v>
      </c>
    </row>
    <row r="136" spans="1:4" x14ac:dyDescent="0.45">
      <c r="A136" s="8">
        <f>Raw_data!A130</f>
        <v>45860</v>
      </c>
      <c r="B136" s="9">
        <f>Raw_data!F130</f>
        <v>101176.2</v>
      </c>
      <c r="C136" s="5">
        <f t="shared" si="2"/>
        <v>-1.5440234175240874E-3</v>
      </c>
      <c r="D136" s="5">
        <f t="shared" si="3"/>
        <v>1.176200000000005E-2</v>
      </c>
    </row>
    <row r="137" spans="1:4" x14ac:dyDescent="0.45">
      <c r="A137" s="8">
        <f>Raw_data!A131</f>
        <v>45861</v>
      </c>
      <c r="B137" s="9">
        <f>Raw_data!F131</f>
        <v>101428.8</v>
      </c>
      <c r="C137" s="5">
        <f t="shared" si="2"/>
        <v>2.4966345840227821E-3</v>
      </c>
      <c r="D137" s="5">
        <f t="shared" si="3"/>
        <v>1.4288000000000078E-2</v>
      </c>
    </row>
    <row r="138" spans="1:4" x14ac:dyDescent="0.45">
      <c r="A138" s="8">
        <f>Raw_data!A132</f>
        <v>45862</v>
      </c>
      <c r="B138" s="9">
        <f>Raw_data!F132</f>
        <v>103199.7</v>
      </c>
      <c r="C138" s="5">
        <f t="shared" ref="C138:C201" si="4">(B138-B137)/B137</f>
        <v>1.7459538119350658E-2</v>
      </c>
      <c r="D138" s="5">
        <f t="shared" ref="D138:D201" si="5">(B138/B$8)-1</f>
        <v>3.1997000000000053E-2</v>
      </c>
    </row>
    <row r="139" spans="1:4" x14ac:dyDescent="0.45">
      <c r="A139" s="8">
        <f>Raw_data!A133</f>
        <v>45863</v>
      </c>
      <c r="B139" s="9">
        <f>Raw_data!F133</f>
        <v>99752.82</v>
      </c>
      <c r="C139" s="5">
        <f t="shared" si="4"/>
        <v>-3.3400097093305409E-2</v>
      </c>
      <c r="D139" s="5">
        <f t="shared" si="5"/>
        <v>-2.471799999999913E-3</v>
      </c>
    </row>
    <row r="140" spans="1:4" x14ac:dyDescent="0.45">
      <c r="A140" s="8">
        <f>Raw_data!A134</f>
        <v>45864</v>
      </c>
      <c r="B140" s="9">
        <f>Raw_data!F134</f>
        <v>101260.3</v>
      </c>
      <c r="C140" s="5">
        <f t="shared" si="4"/>
        <v>1.5112154222807895E-2</v>
      </c>
      <c r="D140" s="5">
        <f t="shared" si="5"/>
        <v>1.260299999999992E-2</v>
      </c>
    </row>
    <row r="141" spans="1:4" x14ac:dyDescent="0.45">
      <c r="A141" s="8">
        <f>Raw_data!A135</f>
        <v>45867</v>
      </c>
      <c r="B141" s="9">
        <f>Raw_data!F135</f>
        <v>102812.64</v>
      </c>
      <c r="C141" s="5">
        <f t="shared" si="4"/>
        <v>1.5330193570431812E-2</v>
      </c>
      <c r="D141" s="5">
        <f t="shared" si="5"/>
        <v>2.8126399999999885E-2</v>
      </c>
    </row>
    <row r="142" spans="1:4" x14ac:dyDescent="0.45">
      <c r="A142" s="8">
        <f>Raw_data!A136</f>
        <v>45868</v>
      </c>
      <c r="B142" s="9">
        <f>Raw_data!F136</f>
        <v>99739.46</v>
      </c>
      <c r="C142" s="5">
        <f t="shared" si="4"/>
        <v>-2.9891071759269999E-2</v>
      </c>
      <c r="D142" s="5">
        <f t="shared" si="5"/>
        <v>-2.60539999999998E-3</v>
      </c>
    </row>
    <row r="143" spans="1:4" x14ac:dyDescent="0.45">
      <c r="A143" s="8">
        <f>Raw_data!A137</f>
        <v>45869</v>
      </c>
      <c r="B143" s="9">
        <f>Raw_data!F137</f>
        <v>99663.679999999993</v>
      </c>
      <c r="C143" s="5">
        <f t="shared" si="4"/>
        <v>-7.5977952958651855E-4</v>
      </c>
      <c r="D143" s="5">
        <f t="shared" si="5"/>
        <v>-3.3632000000001216E-3</v>
      </c>
    </row>
    <row r="144" spans="1:4" x14ac:dyDescent="0.45">
      <c r="A144" s="8">
        <f>Raw_data!A138</f>
        <v>45870</v>
      </c>
      <c r="B144" s="9">
        <f>Raw_data!F138</f>
        <v>97275.48</v>
      </c>
      <c r="C144" s="5">
        <f t="shared" si="4"/>
        <v>-2.39625909860041E-2</v>
      </c>
      <c r="D144" s="5">
        <f t="shared" si="5"/>
        <v>-2.724520000000008E-2</v>
      </c>
    </row>
    <row r="145" spans="1:4" x14ac:dyDescent="0.45">
      <c r="A145" s="8">
        <f>Raw_data!A139</f>
        <v>45871</v>
      </c>
      <c r="B145" s="9">
        <f>Raw_data!F139</f>
        <v>96452.98</v>
      </c>
      <c r="C145" s="5">
        <f t="shared" si="4"/>
        <v>-8.4553681976177342E-3</v>
      </c>
      <c r="D145" s="5">
        <f t="shared" si="5"/>
        <v>-3.5470200000000007E-2</v>
      </c>
    </row>
    <row r="146" spans="1:4" x14ac:dyDescent="0.45">
      <c r="A146" s="8">
        <f>Raw_data!A140</f>
        <v>45874</v>
      </c>
      <c r="B146" s="9">
        <f>Raw_data!F140</f>
        <v>96489.24</v>
      </c>
      <c r="C146" s="5">
        <f t="shared" si="4"/>
        <v>3.7593447086870012E-4</v>
      </c>
      <c r="D146" s="5">
        <f t="shared" si="5"/>
        <v>-3.5107599999999906E-2</v>
      </c>
    </row>
    <row r="147" spans="1:4" x14ac:dyDescent="0.45">
      <c r="A147" s="8">
        <f>Raw_data!A141</f>
        <v>45875</v>
      </c>
      <c r="B147" s="9">
        <f>Raw_data!F141</f>
        <v>97077.56</v>
      </c>
      <c r="C147" s="5">
        <f t="shared" si="4"/>
        <v>6.0972601711858487E-3</v>
      </c>
      <c r="D147" s="5">
        <f t="shared" si="5"/>
        <v>-2.9224400000000039E-2</v>
      </c>
    </row>
    <row r="148" spans="1:4" x14ac:dyDescent="0.45">
      <c r="A148" s="8">
        <f>Raw_data!A142</f>
        <v>45876</v>
      </c>
      <c r="B148" s="9">
        <f>Raw_data!F142</f>
        <v>97429.48</v>
      </c>
      <c r="C148" s="5">
        <f t="shared" si="4"/>
        <v>3.6251426179232178E-3</v>
      </c>
      <c r="D148" s="5">
        <f t="shared" si="5"/>
        <v>-2.5705200000000095E-2</v>
      </c>
    </row>
    <row r="149" spans="1:4" x14ac:dyDescent="0.45">
      <c r="A149" s="8">
        <f>Raw_data!A143</f>
        <v>45877</v>
      </c>
      <c r="B149" s="9">
        <f>Raw_data!F143</f>
        <v>98124.28</v>
      </c>
      <c r="C149" s="5">
        <f t="shared" si="4"/>
        <v>7.1313117959780035E-3</v>
      </c>
      <c r="D149" s="5">
        <f t="shared" si="5"/>
        <v>-1.8757200000000029E-2</v>
      </c>
    </row>
    <row r="150" spans="1:4" x14ac:dyDescent="0.45">
      <c r="A150" s="8">
        <f>Raw_data!A144</f>
        <v>45878</v>
      </c>
      <c r="B150" s="9">
        <f>Raw_data!F144</f>
        <v>99382.34</v>
      </c>
      <c r="C150" s="5">
        <f t="shared" si="4"/>
        <v>1.2821087706325058E-2</v>
      </c>
      <c r="D150" s="5">
        <f t="shared" si="5"/>
        <v>-6.1766000000000876E-3</v>
      </c>
    </row>
    <row r="151" spans="1:4" x14ac:dyDescent="0.45">
      <c r="A151" s="8">
        <f>Raw_data!A145</f>
        <v>45881</v>
      </c>
      <c r="B151" s="9">
        <f>Raw_data!F145</f>
        <v>99948.99</v>
      </c>
      <c r="C151" s="5">
        <f t="shared" si="4"/>
        <v>5.7017172266220408E-3</v>
      </c>
      <c r="D151" s="5">
        <f t="shared" si="5"/>
        <v>-5.1009999999995781E-4</v>
      </c>
    </row>
    <row r="152" spans="1:4" x14ac:dyDescent="0.45">
      <c r="A152" s="8">
        <f>Raw_data!A146</f>
        <v>45882</v>
      </c>
      <c r="B152" s="9">
        <f>Raw_data!F146</f>
        <v>101913.56</v>
      </c>
      <c r="C152" s="5">
        <f t="shared" si="4"/>
        <v>1.9655726386029436E-2</v>
      </c>
      <c r="D152" s="5">
        <f t="shared" si="5"/>
        <v>1.913560000000003E-2</v>
      </c>
    </row>
    <row r="153" spans="1:4" x14ac:dyDescent="0.45">
      <c r="A153" s="8">
        <f>Raw_data!A147</f>
        <v>45883</v>
      </c>
      <c r="B153" s="9">
        <f>Raw_data!F147</f>
        <v>102881.16</v>
      </c>
      <c r="C153" s="5">
        <f t="shared" si="4"/>
        <v>9.4943204810037634E-3</v>
      </c>
      <c r="D153" s="5">
        <f t="shared" si="5"/>
        <v>2.8811600000000048E-2</v>
      </c>
    </row>
    <row r="154" spans="1:4" x14ac:dyDescent="0.45">
      <c r="A154" s="8">
        <f>Raw_data!A148</f>
        <v>45884</v>
      </c>
      <c r="B154" s="9">
        <f>Raw_data!F148</f>
        <v>102728.88</v>
      </c>
      <c r="C154" s="5">
        <f t="shared" si="4"/>
        <v>-1.480154383951336E-3</v>
      </c>
      <c r="D154" s="5">
        <f t="shared" si="5"/>
        <v>2.7288800000000002E-2</v>
      </c>
    </row>
    <row r="155" spans="1:4" x14ac:dyDescent="0.45">
      <c r="A155" s="8">
        <f>Raw_data!A149</f>
        <v>45885</v>
      </c>
      <c r="B155" s="9">
        <f>Raw_data!F149</f>
        <v>102669.14</v>
      </c>
      <c r="C155" s="5">
        <f t="shared" si="4"/>
        <v>-5.8153072436889443E-4</v>
      </c>
      <c r="D155" s="5">
        <f t="shared" si="5"/>
        <v>2.6691400000000032E-2</v>
      </c>
    </row>
    <row r="156" spans="1:4" x14ac:dyDescent="0.45">
      <c r="A156" s="8">
        <f>Raw_data!A150</f>
        <v>45888</v>
      </c>
      <c r="B156" s="9">
        <f>Raw_data!F150</f>
        <v>102603.16</v>
      </c>
      <c r="C156" s="5">
        <f t="shared" si="4"/>
        <v>-6.4264685571531943E-4</v>
      </c>
      <c r="D156" s="5">
        <f t="shared" si="5"/>
        <v>2.6031600000000044E-2</v>
      </c>
    </row>
    <row r="157" spans="1:4" x14ac:dyDescent="0.45">
      <c r="A157" s="8">
        <f>Raw_data!A151</f>
        <v>45889</v>
      </c>
      <c r="B157" s="9">
        <f>Raw_data!F151</f>
        <v>100278.92</v>
      </c>
      <c r="C157" s="5">
        <f t="shared" si="4"/>
        <v>-2.2652713620126368E-2</v>
      </c>
      <c r="D157" s="5">
        <f t="shared" si="5"/>
        <v>2.7892000000000472E-3</v>
      </c>
    </row>
    <row r="158" spans="1:4" x14ac:dyDescent="0.45">
      <c r="A158" s="8">
        <f>Raw_data!A152</f>
        <v>45890</v>
      </c>
      <c r="B158" s="9">
        <f>Raw_data!F152</f>
        <v>99679.64</v>
      </c>
      <c r="C158" s="5">
        <f t="shared" si="4"/>
        <v>-5.9761313743705944E-3</v>
      </c>
      <c r="D158" s="5">
        <f t="shared" si="5"/>
        <v>-3.2035999999999731E-3</v>
      </c>
    </row>
    <row r="159" spans="1:4" x14ac:dyDescent="0.45">
      <c r="A159" s="8">
        <f>Raw_data!A153</f>
        <v>45891</v>
      </c>
      <c r="B159" s="9">
        <f>Raw_data!F153</f>
        <v>100031</v>
      </c>
      <c r="C159" s="5">
        <f t="shared" si="4"/>
        <v>3.5248923451168222E-3</v>
      </c>
      <c r="D159" s="5">
        <f t="shared" si="5"/>
        <v>3.1000000000003247E-4</v>
      </c>
    </row>
    <row r="160" spans="1:4" x14ac:dyDescent="0.45">
      <c r="A160" s="8">
        <f>Raw_data!A154</f>
        <v>45892</v>
      </c>
      <c r="B160" s="9">
        <f>Raw_data!F154</f>
        <v>103621.72</v>
      </c>
      <c r="C160" s="5">
        <f t="shared" si="4"/>
        <v>3.5896072217612554E-2</v>
      </c>
      <c r="D160" s="5">
        <f t="shared" si="5"/>
        <v>3.621720000000006E-2</v>
      </c>
    </row>
    <row r="161" spans="1:4" x14ac:dyDescent="0.45">
      <c r="A161" s="8">
        <f>Raw_data!A155</f>
        <v>45895</v>
      </c>
      <c r="B161" s="9">
        <f>Raw_data!F155</f>
        <v>103602.96</v>
      </c>
      <c r="C161" s="5">
        <f t="shared" si="4"/>
        <v>-1.8104312493553244E-4</v>
      </c>
      <c r="D161" s="5">
        <f t="shared" si="5"/>
        <v>3.6029599999999995E-2</v>
      </c>
    </row>
    <row r="162" spans="1:4" x14ac:dyDescent="0.45">
      <c r="A162" s="8">
        <f>Raw_data!A156</f>
        <v>45896</v>
      </c>
      <c r="B162" s="9">
        <f>Raw_data!F156</f>
        <v>106213.78</v>
      </c>
      <c r="C162" s="5">
        <f t="shared" si="4"/>
        <v>2.5200245243958207E-2</v>
      </c>
      <c r="D162" s="5">
        <f t="shared" si="5"/>
        <v>6.213779999999991E-2</v>
      </c>
    </row>
    <row r="163" spans="1:4" x14ac:dyDescent="0.45">
      <c r="A163" s="8">
        <f>Raw_data!A157</f>
        <v>45897</v>
      </c>
      <c r="B163" s="9">
        <f>Raw_data!F157</f>
        <v>106243.94</v>
      </c>
      <c r="C163" s="5">
        <f t="shared" si="4"/>
        <v>2.8395562233076999E-4</v>
      </c>
      <c r="D163" s="5">
        <f t="shared" si="5"/>
        <v>6.2439399999999923E-2</v>
      </c>
    </row>
    <row r="164" spans="1:4" x14ac:dyDescent="0.45">
      <c r="A164" s="8">
        <f>Raw_data!A158</f>
        <v>45898</v>
      </c>
      <c r="B164" s="9">
        <f>Raw_data!F158</f>
        <v>106270.48</v>
      </c>
      <c r="C164" s="5">
        <f t="shared" si="4"/>
        <v>2.4980248285213819E-4</v>
      </c>
      <c r="D164" s="5">
        <f t="shared" si="5"/>
        <v>6.2704799999999894E-2</v>
      </c>
    </row>
    <row r="165" spans="1:4" x14ac:dyDescent="0.45">
      <c r="A165" s="8">
        <f>Raw_data!A159</f>
        <v>45899</v>
      </c>
      <c r="B165" s="9">
        <f>Raw_data!F159</f>
        <v>104375.1</v>
      </c>
      <c r="C165" s="5">
        <f t="shared" si="4"/>
        <v>-1.7835432756114305E-2</v>
      </c>
      <c r="D165" s="5">
        <f t="shared" si="5"/>
        <v>4.3751000000000095E-2</v>
      </c>
    </row>
    <row r="166" spans="1:4" x14ac:dyDescent="0.45">
      <c r="A166" s="8">
        <f>Raw_data!A160</f>
        <v>45902</v>
      </c>
      <c r="B166" s="9">
        <f>Raw_data!F160</f>
        <v>104328.1</v>
      </c>
      <c r="C166" s="5">
        <f t="shared" si="4"/>
        <v>-4.5029896977344212E-4</v>
      </c>
      <c r="D166" s="5">
        <f t="shared" si="5"/>
        <v>4.3281000000000125E-2</v>
      </c>
    </row>
    <row r="167" spans="1:4" x14ac:dyDescent="0.45">
      <c r="A167" s="8">
        <f>Raw_data!A161</f>
        <v>45903</v>
      </c>
      <c r="B167" s="9">
        <f>Raw_data!F161</f>
        <v>103832.3</v>
      </c>
      <c r="C167" s="5">
        <f t="shared" si="4"/>
        <v>-4.7523150522246916E-3</v>
      </c>
      <c r="D167" s="5">
        <f t="shared" si="5"/>
        <v>3.8323000000000107E-2</v>
      </c>
    </row>
    <row r="168" spans="1:4" x14ac:dyDescent="0.45">
      <c r="A168" s="8">
        <f>Raw_data!A162</f>
        <v>45904</v>
      </c>
      <c r="B168" s="9">
        <f>Raw_data!F162</f>
        <v>103006.38</v>
      </c>
      <c r="C168" s="5">
        <f t="shared" si="4"/>
        <v>-7.9543648748992193E-3</v>
      </c>
      <c r="D168" s="5">
        <f t="shared" si="5"/>
        <v>3.0063799999999974E-2</v>
      </c>
    </row>
    <row r="169" spans="1:4" x14ac:dyDescent="0.45">
      <c r="A169" s="8">
        <f>Raw_data!A163</f>
        <v>45905</v>
      </c>
      <c r="B169" s="9">
        <f>Raw_data!F163</f>
        <v>103193.36</v>
      </c>
      <c r="C169" s="5">
        <f t="shared" si="4"/>
        <v>1.81522736746982E-3</v>
      </c>
      <c r="D169" s="5">
        <f t="shared" si="5"/>
        <v>3.1933599999999895E-2</v>
      </c>
    </row>
    <row r="170" spans="1:4" x14ac:dyDescent="0.45">
      <c r="A170" s="8">
        <f>Raw_data!A164</f>
        <v>45906</v>
      </c>
      <c r="B170" s="9">
        <f>Raw_data!F164</f>
        <v>103751.78</v>
      </c>
      <c r="C170" s="5">
        <f t="shared" si="4"/>
        <v>5.4113946866348591E-3</v>
      </c>
      <c r="D170" s="5">
        <f t="shared" si="5"/>
        <v>3.7517800000000046E-2</v>
      </c>
    </row>
    <row r="171" spans="1:4" x14ac:dyDescent="0.45">
      <c r="A171" s="8">
        <f>Raw_data!A165</f>
        <v>45909</v>
      </c>
      <c r="B171" s="9">
        <f>Raw_data!F165</f>
        <v>103167.26</v>
      </c>
      <c r="C171" s="5">
        <f t="shared" si="4"/>
        <v>-5.6338310533082334E-3</v>
      </c>
      <c r="D171" s="5">
        <f t="shared" si="5"/>
        <v>3.1672600000000051E-2</v>
      </c>
    </row>
    <row r="172" spans="1:4" x14ac:dyDescent="0.45">
      <c r="A172" s="8">
        <f>Raw_data!A166</f>
        <v>45910</v>
      </c>
      <c r="B172" s="9">
        <f>Raw_data!F166</f>
        <v>102918.16</v>
      </c>
      <c r="C172" s="5">
        <f t="shared" si="4"/>
        <v>-2.4145256935193516E-3</v>
      </c>
      <c r="D172" s="5">
        <f t="shared" si="5"/>
        <v>2.918160000000003E-2</v>
      </c>
    </row>
    <row r="173" spans="1:4" x14ac:dyDescent="0.45">
      <c r="A173" s="8">
        <f>Raw_data!A167</f>
        <v>45911</v>
      </c>
      <c r="B173" s="9">
        <f>Raw_data!F167</f>
        <v>103124.3</v>
      </c>
      <c r="C173" s="5">
        <f t="shared" si="4"/>
        <v>2.0029506940271707E-3</v>
      </c>
      <c r="D173" s="5">
        <f t="shared" si="5"/>
        <v>3.1243000000000132E-2</v>
      </c>
    </row>
    <row r="174" spans="1:4" x14ac:dyDescent="0.45">
      <c r="A174" s="8">
        <f>Raw_data!A168</f>
        <v>45912</v>
      </c>
      <c r="B174" s="9">
        <f>Raw_data!F168</f>
        <v>103734.68</v>
      </c>
      <c r="C174" s="5">
        <f t="shared" si="4"/>
        <v>5.9188765402527835E-3</v>
      </c>
      <c r="D174" s="5">
        <f t="shared" si="5"/>
        <v>3.7346799999999902E-2</v>
      </c>
    </row>
    <row r="175" spans="1:4" x14ac:dyDescent="0.45">
      <c r="A175" s="8">
        <f>Raw_data!A169</f>
        <v>45913</v>
      </c>
      <c r="B175" s="9">
        <f>Raw_data!F169</f>
        <v>105365.78</v>
      </c>
      <c r="C175" s="5">
        <f t="shared" si="4"/>
        <v>1.5723767596333319E-2</v>
      </c>
      <c r="D175" s="5">
        <f t="shared" si="5"/>
        <v>5.3657800000000089E-2</v>
      </c>
    </row>
    <row r="176" spans="1:4" x14ac:dyDescent="0.45">
      <c r="A176" s="8">
        <f>Raw_data!A170</f>
        <v>45916</v>
      </c>
      <c r="B176" s="9">
        <f>Raw_data!F170</f>
        <v>106669.34</v>
      </c>
      <c r="C176" s="5">
        <f t="shared" si="4"/>
        <v>1.23717586487757E-2</v>
      </c>
      <c r="D176" s="5">
        <f t="shared" si="5"/>
        <v>6.6693399999999903E-2</v>
      </c>
    </row>
    <row r="177" spans="1:4" x14ac:dyDescent="0.45">
      <c r="A177" s="8">
        <f>Raw_data!A171</f>
        <v>45917</v>
      </c>
      <c r="B177" s="9">
        <f>Raw_data!F171</f>
        <v>107455</v>
      </c>
      <c r="C177" s="5">
        <f t="shared" si="4"/>
        <v>7.3653779052162832E-3</v>
      </c>
      <c r="D177" s="5">
        <f t="shared" si="5"/>
        <v>7.4549999999999894E-2</v>
      </c>
    </row>
    <row r="178" spans="1:4" x14ac:dyDescent="0.45">
      <c r="A178" s="8">
        <f>Raw_data!A172</f>
        <v>45918</v>
      </c>
      <c r="B178" s="9">
        <f>Raw_data!F172</f>
        <v>107130.37</v>
      </c>
      <c r="C178" s="5">
        <f t="shared" si="4"/>
        <v>-3.0210785910381524E-3</v>
      </c>
      <c r="D178" s="5">
        <f t="shared" si="5"/>
        <v>7.1303699999999859E-2</v>
      </c>
    </row>
    <row r="179" spans="1:4" x14ac:dyDescent="0.45">
      <c r="A179" s="8">
        <f>Raw_data!A173</f>
        <v>45919</v>
      </c>
      <c r="B179" s="9">
        <f>Raw_data!F173</f>
        <v>106681.67</v>
      </c>
      <c r="C179" s="5">
        <f t="shared" si="4"/>
        <v>-4.1883548054580328E-3</v>
      </c>
      <c r="D179" s="5">
        <f t="shared" si="5"/>
        <v>6.6816699999999951E-2</v>
      </c>
    </row>
    <row r="180" spans="1:4" x14ac:dyDescent="0.45">
      <c r="A180" s="8">
        <f>Raw_data!A174</f>
        <v>45920</v>
      </c>
      <c r="B180" s="9">
        <f>Raw_data!F174</f>
        <v>107707.73</v>
      </c>
      <c r="C180" s="5">
        <f t="shared" si="4"/>
        <v>9.6179596738596024E-3</v>
      </c>
      <c r="D180" s="5">
        <f t="shared" si="5"/>
        <v>7.7077300000000015E-2</v>
      </c>
    </row>
    <row r="181" spans="1:4" x14ac:dyDescent="0.45">
      <c r="A181" s="8">
        <f>Raw_data!A175</f>
        <v>45923</v>
      </c>
      <c r="B181" s="9">
        <f>Raw_data!F175</f>
        <v>108184.81</v>
      </c>
      <c r="C181" s="5">
        <f t="shared" si="4"/>
        <v>4.4293942505333811E-3</v>
      </c>
      <c r="D181" s="5">
        <f t="shared" si="5"/>
        <v>8.1848099999999979E-2</v>
      </c>
    </row>
    <row r="182" spans="1:4" x14ac:dyDescent="0.45">
      <c r="A182" s="8">
        <f>Raw_data!A176</f>
        <v>45924</v>
      </c>
      <c r="B182" s="9">
        <f>Raw_data!F176</f>
        <v>108001.35</v>
      </c>
      <c r="C182" s="5">
        <f t="shared" si="4"/>
        <v>-1.6958018413120277E-3</v>
      </c>
      <c r="D182" s="5">
        <f t="shared" si="5"/>
        <v>8.001349999999996E-2</v>
      </c>
    </row>
    <row r="183" spans="1:4" x14ac:dyDescent="0.45">
      <c r="A183" s="8">
        <f>Raw_data!A177</f>
        <v>45925</v>
      </c>
      <c r="B183" s="9">
        <f>Raw_data!F177</f>
        <v>109390.93</v>
      </c>
      <c r="C183" s="5">
        <f t="shared" si="4"/>
        <v>1.2866320652473206E-2</v>
      </c>
      <c r="D183" s="5">
        <f t="shared" si="5"/>
        <v>9.3909299999999973E-2</v>
      </c>
    </row>
    <row r="184" spans="1:4" x14ac:dyDescent="0.45">
      <c r="A184" s="8">
        <f>Raw_data!A178</f>
        <v>45926</v>
      </c>
      <c r="B184" s="9">
        <f>Raw_data!F178</f>
        <v>107067.87</v>
      </c>
      <c r="C184" s="5">
        <f t="shared" si="4"/>
        <v>-2.1236312736348413E-2</v>
      </c>
      <c r="D184" s="5">
        <f t="shared" si="5"/>
        <v>7.0678699999999983E-2</v>
      </c>
    </row>
    <row r="185" spans="1:4" x14ac:dyDescent="0.45">
      <c r="A185" s="8">
        <f>Raw_data!A179</f>
        <v>45927</v>
      </c>
      <c r="B185" s="9">
        <f>Raw_data!F179</f>
        <v>110659.37</v>
      </c>
      <c r="C185" s="5">
        <f t="shared" si="4"/>
        <v>3.3544143541848738E-2</v>
      </c>
      <c r="D185" s="5">
        <f t="shared" si="5"/>
        <v>0.1065936999999999</v>
      </c>
    </row>
    <row r="186" spans="1:4" x14ac:dyDescent="0.45">
      <c r="A186" s="8">
        <f>Raw_data!A180</f>
        <v>45930</v>
      </c>
      <c r="B186" s="9">
        <f>Raw_data!F180</f>
        <v>110396.69</v>
      </c>
      <c r="C186" s="5">
        <f t="shared" si="4"/>
        <v>-2.3737709694171675E-3</v>
      </c>
      <c r="D186" s="5">
        <f t="shared" si="5"/>
        <v>0.10396690000000008</v>
      </c>
    </row>
    <row r="187" spans="1:4" x14ac:dyDescent="0.45">
      <c r="A187" s="8">
        <f>Raw_data!A181</f>
        <v>45931</v>
      </c>
      <c r="B187" s="9">
        <f>Raw_data!F181</f>
        <v>110650.75</v>
      </c>
      <c r="C187" s="5">
        <f t="shared" si="4"/>
        <v>2.3013371143645492E-3</v>
      </c>
      <c r="D187" s="5">
        <f t="shared" si="5"/>
        <v>0.10650749999999998</v>
      </c>
    </row>
    <row r="188" spans="1:4" x14ac:dyDescent="0.45">
      <c r="A188" s="8">
        <f>Raw_data!A182</f>
        <v>45932</v>
      </c>
      <c r="B188" s="9">
        <f>Raw_data!F182</f>
        <v>111742.59</v>
      </c>
      <c r="C188" s="5">
        <f t="shared" si="4"/>
        <v>9.8674432843880097E-3</v>
      </c>
      <c r="D188" s="5">
        <f t="shared" si="5"/>
        <v>0.11742589999999997</v>
      </c>
    </row>
    <row r="189" spans="1:4" x14ac:dyDescent="0.45">
      <c r="A189" s="8">
        <f>Raw_data!A183</f>
        <v>45933</v>
      </c>
      <c r="B189" s="9">
        <f>Raw_data!F183</f>
        <v>109799.19</v>
      </c>
      <c r="C189" s="5">
        <f t="shared" si="4"/>
        <v>-1.7391757252091564E-2</v>
      </c>
      <c r="D189" s="5">
        <f t="shared" si="5"/>
        <v>9.7991900000000021E-2</v>
      </c>
    </row>
    <row r="190" spans="1:4" x14ac:dyDescent="0.45">
      <c r="A190" s="8">
        <f>Raw_data!A184</f>
        <v>45934</v>
      </c>
      <c r="B190" s="9">
        <f>Raw_data!F184</f>
        <v>109018.65</v>
      </c>
      <c r="C190" s="5">
        <f t="shared" si="4"/>
        <v>-7.1087956113338189E-3</v>
      </c>
      <c r="D190" s="5">
        <f t="shared" si="5"/>
        <v>9.0186499999999947E-2</v>
      </c>
    </row>
    <row r="191" spans="1:4" x14ac:dyDescent="0.45">
      <c r="A191" s="8">
        <f>Raw_data!A185</f>
        <v>45937</v>
      </c>
      <c r="B191" s="9">
        <f>Raw_data!F185</f>
        <v>112017.99</v>
      </c>
      <c r="C191" s="5">
        <f t="shared" si="4"/>
        <v>2.7512173375839926E-2</v>
      </c>
      <c r="D191" s="5">
        <f t="shared" si="5"/>
        <v>0.12017990000000012</v>
      </c>
    </row>
    <row r="192" spans="1:4" x14ac:dyDescent="0.45">
      <c r="A192" s="8">
        <f>Raw_data!A186</f>
        <v>45938</v>
      </c>
      <c r="B192" s="9">
        <f>Raw_data!F186</f>
        <v>110504.19</v>
      </c>
      <c r="C192" s="5">
        <f t="shared" si="4"/>
        <v>-1.3513900758262158E-2</v>
      </c>
      <c r="D192" s="5">
        <f t="shared" si="5"/>
        <v>0.10504190000000002</v>
      </c>
    </row>
    <row r="193" spans="1:4" x14ac:dyDescent="0.45">
      <c r="A193" s="8">
        <f>Raw_data!A187</f>
        <v>45939</v>
      </c>
      <c r="B193" s="9">
        <f>Raw_data!F187</f>
        <v>111776.63</v>
      </c>
      <c r="C193" s="5">
        <f t="shared" si="4"/>
        <v>1.1514857490924121E-2</v>
      </c>
      <c r="D193" s="5">
        <f t="shared" si="5"/>
        <v>0.11776629999999999</v>
      </c>
    </row>
    <row r="194" spans="1:4" x14ac:dyDescent="0.45">
      <c r="A194" s="8">
        <f>Raw_data!A188</f>
        <v>45940</v>
      </c>
      <c r="B194" s="9">
        <f>Raw_data!F188</f>
        <v>109468.95</v>
      </c>
      <c r="C194" s="5">
        <f t="shared" si="4"/>
        <v>-2.0645460504579601E-2</v>
      </c>
      <c r="D194" s="5">
        <f t="shared" si="5"/>
        <v>9.4689499999999871E-2</v>
      </c>
    </row>
    <row r="195" spans="1:4" x14ac:dyDescent="0.45">
      <c r="A195" s="8">
        <f>Raw_data!A189</f>
        <v>45941</v>
      </c>
      <c r="B195" s="9">
        <f>Raw_data!F189</f>
        <v>104668.82</v>
      </c>
      <c r="C195" s="5">
        <f t="shared" si="4"/>
        <v>-4.3849237614866955E-2</v>
      </c>
      <c r="D195" s="5">
        <f t="shared" si="5"/>
        <v>4.668820000000018E-2</v>
      </c>
    </row>
    <row r="196" spans="1:4" x14ac:dyDescent="0.45">
      <c r="A196" s="8">
        <f>Raw_data!A190</f>
        <v>45944</v>
      </c>
      <c r="B196" s="9">
        <f>Raw_data!F190</f>
        <v>107568.37</v>
      </c>
      <c r="C196" s="5">
        <f t="shared" si="4"/>
        <v>2.7702137083421674E-2</v>
      </c>
      <c r="D196" s="5">
        <f t="shared" si="5"/>
        <v>7.5683699999999909E-2</v>
      </c>
    </row>
    <row r="197" spans="1:4" x14ac:dyDescent="0.45">
      <c r="A197" s="8">
        <f>Raw_data!A191</f>
        <v>45945</v>
      </c>
      <c r="B197" s="9">
        <f>Raw_data!F191</f>
        <v>106075.04</v>
      </c>
      <c r="C197" s="5">
        <f t="shared" si="4"/>
        <v>-1.388261251890311E-2</v>
      </c>
      <c r="D197" s="5">
        <f t="shared" si="5"/>
        <v>6.0750399999999871E-2</v>
      </c>
    </row>
    <row r="198" spans="1:4" x14ac:dyDescent="0.45">
      <c r="A198" s="8">
        <f>Raw_data!A192</f>
        <v>45946</v>
      </c>
      <c r="B198" s="9">
        <f>Raw_data!F192</f>
        <v>107395.1</v>
      </c>
      <c r="C198" s="5">
        <f t="shared" si="4"/>
        <v>1.2444586398459169E-2</v>
      </c>
      <c r="D198" s="5">
        <f t="shared" si="5"/>
        <v>7.39510000000001E-2</v>
      </c>
    </row>
    <row r="199" spans="1:4" x14ac:dyDescent="0.45">
      <c r="A199" s="8">
        <f>Raw_data!A193</f>
        <v>45947</v>
      </c>
      <c r="B199" s="9">
        <f>Raw_data!F193</f>
        <v>105608.39</v>
      </c>
      <c r="C199" s="5">
        <f t="shared" si="4"/>
        <v>-1.6636792553850283E-2</v>
      </c>
      <c r="D199" s="5">
        <f t="shared" si="5"/>
        <v>5.6083899999999964E-2</v>
      </c>
    </row>
    <row r="200" spans="1:4" x14ac:dyDescent="0.45">
      <c r="A200" s="8">
        <f>Raw_data!A194</f>
        <v>45948</v>
      </c>
      <c r="B200" s="9">
        <f>Raw_data!F194</f>
        <v>106280.06</v>
      </c>
      <c r="C200" s="5">
        <f t="shared" si="4"/>
        <v>6.3600060563369851E-3</v>
      </c>
      <c r="D200" s="5">
        <f t="shared" si="5"/>
        <v>6.2800599999999873E-2</v>
      </c>
    </row>
    <row r="201" spans="1:4" x14ac:dyDescent="0.45">
      <c r="A201" s="8">
        <f>Raw_data!A195</f>
        <v>45951</v>
      </c>
      <c r="B201" s="9">
        <f>Raw_data!F195</f>
        <v>108196.59</v>
      </c>
      <c r="C201" s="5">
        <f t="shared" si="4"/>
        <v>1.8032827606608418E-2</v>
      </c>
      <c r="D201" s="5">
        <f t="shared" si="5"/>
        <v>8.1965899999999925E-2</v>
      </c>
    </row>
    <row r="202" spans="1:4" x14ac:dyDescent="0.45">
      <c r="A202" s="8">
        <f>Raw_data!A196</f>
        <v>45952</v>
      </c>
      <c r="B202" s="9">
        <f>Raw_data!F196</f>
        <v>107074.26</v>
      </c>
      <c r="C202" s="5">
        <f t="shared" ref="C202:C265" si="6">(B202-B201)/B201</f>
        <v>-1.0373062589125978E-2</v>
      </c>
      <c r="D202" s="5">
        <f t="shared" ref="D202:D265" si="7">(B202/B$8)-1</f>
        <v>7.0742599999999989E-2</v>
      </c>
    </row>
    <row r="203" spans="1:4" x14ac:dyDescent="0.45">
      <c r="A203" s="8">
        <f>Raw_data!A197</f>
        <v>45953</v>
      </c>
      <c r="B203" s="9">
        <f>Raw_data!F197</f>
        <v>107255.28</v>
      </c>
      <c r="C203" s="5">
        <f t="shared" si="6"/>
        <v>1.690602391275028E-3</v>
      </c>
      <c r="D203" s="5">
        <f t="shared" si="7"/>
        <v>7.2552799999999973E-2</v>
      </c>
    </row>
    <row r="204" spans="1:4" x14ac:dyDescent="0.45">
      <c r="A204" s="8">
        <f>Raw_data!A198</f>
        <v>45954</v>
      </c>
      <c r="B204" s="9">
        <f>Raw_data!F198</f>
        <v>108961.47</v>
      </c>
      <c r="C204" s="5">
        <f t="shared" si="6"/>
        <v>1.5907748317845073E-2</v>
      </c>
      <c r="D204" s="5">
        <f t="shared" si="7"/>
        <v>8.9614700000000047E-2</v>
      </c>
    </row>
    <row r="205" spans="1:4" x14ac:dyDescent="0.45">
      <c r="A205" s="8">
        <f>Raw_data!A199</f>
        <v>45955</v>
      </c>
      <c r="B205" s="9">
        <f>Raw_data!F199</f>
        <v>108695.4</v>
      </c>
      <c r="C205" s="5">
        <f t="shared" si="6"/>
        <v>-2.4418723425813455E-3</v>
      </c>
      <c r="D205" s="5">
        <f t="shared" si="7"/>
        <v>8.6953999999999976E-2</v>
      </c>
    </row>
    <row r="206" spans="1:4" x14ac:dyDescent="0.45">
      <c r="A206" s="8">
        <f>Raw_data!A200</f>
        <v>45958</v>
      </c>
      <c r="B206" s="9">
        <f>Raw_data!F200</f>
        <v>111029.94</v>
      </c>
      <c r="C206" s="5">
        <f t="shared" si="6"/>
        <v>2.147781782853744E-2</v>
      </c>
      <c r="D206" s="5">
        <f t="shared" si="7"/>
        <v>0.11029939999999994</v>
      </c>
    </row>
    <row r="207" spans="1:4" x14ac:dyDescent="0.45">
      <c r="A207" s="8">
        <f>Raw_data!A201</f>
        <v>45959</v>
      </c>
      <c r="B207" s="9">
        <f>Raw_data!F201</f>
        <v>111737.89</v>
      </c>
      <c r="C207" s="5">
        <f t="shared" si="6"/>
        <v>6.3762080750471182E-3</v>
      </c>
      <c r="D207" s="5">
        <f t="shared" si="7"/>
        <v>0.11737890000000006</v>
      </c>
    </row>
    <row r="208" spans="1:4" x14ac:dyDescent="0.45">
      <c r="A208" s="8">
        <f>Raw_data!A202</f>
        <v>45960</v>
      </c>
      <c r="B208" s="9">
        <f>Raw_data!F202</f>
        <v>109547.2</v>
      </c>
      <c r="C208" s="5">
        <f t="shared" si="6"/>
        <v>-1.9605614532366793E-2</v>
      </c>
      <c r="D208" s="5">
        <f t="shared" si="7"/>
        <v>9.5472000000000001E-2</v>
      </c>
    </row>
    <row r="209" spans="1:4" x14ac:dyDescent="0.45">
      <c r="A209" s="8">
        <f>Raw_data!A203</f>
        <v>45961</v>
      </c>
      <c r="B209" s="9">
        <f>Raw_data!F203</f>
        <v>106293.41</v>
      </c>
      <c r="C209" s="5">
        <f t="shared" si="6"/>
        <v>-2.9702174040048431E-2</v>
      </c>
      <c r="D209" s="5">
        <f t="shared" si="7"/>
        <v>6.2934100000000104E-2</v>
      </c>
    </row>
    <row r="210" spans="1:4" x14ac:dyDescent="0.45">
      <c r="A210" s="8">
        <f>Raw_data!A204</f>
        <v>45962</v>
      </c>
      <c r="B210" s="9">
        <f>Raw_data!F204</f>
        <v>109043.09</v>
      </c>
      <c r="C210" s="5">
        <f t="shared" si="6"/>
        <v>2.5868772109202187E-2</v>
      </c>
      <c r="D210" s="5">
        <f t="shared" si="7"/>
        <v>9.043089999999987E-2</v>
      </c>
    </row>
    <row r="211" spans="1:4" x14ac:dyDescent="0.45">
      <c r="A211" s="8">
        <f>Raw_data!A205</f>
        <v>45965</v>
      </c>
      <c r="B211" s="9">
        <f>Raw_data!F205</f>
        <v>112836.08</v>
      </c>
      <c r="C211" s="5">
        <f t="shared" si="6"/>
        <v>3.4784322417862563E-2</v>
      </c>
      <c r="D211" s="5">
        <f t="shared" si="7"/>
        <v>0.12836080000000005</v>
      </c>
    </row>
    <row r="212" spans="1:4" x14ac:dyDescent="0.45">
      <c r="A212" s="8">
        <f>Raw_data!A206</f>
        <v>45966</v>
      </c>
      <c r="B212" s="9">
        <f>Raw_data!F206</f>
        <v>109838.49</v>
      </c>
      <c r="C212" s="5">
        <f t="shared" si="6"/>
        <v>-2.6565882118556372E-2</v>
      </c>
      <c r="D212" s="5">
        <f t="shared" si="7"/>
        <v>9.8384900000000108E-2</v>
      </c>
    </row>
    <row r="213" spans="1:4" x14ac:dyDescent="0.45">
      <c r="A213" s="8">
        <f>Raw_data!A207</f>
        <v>45967</v>
      </c>
      <c r="B213" s="9">
        <f>Raw_data!F207</f>
        <v>112410.18</v>
      </c>
      <c r="C213" s="5">
        <f t="shared" si="6"/>
        <v>2.3413377223230104E-2</v>
      </c>
      <c r="D213" s="5">
        <f t="shared" si="7"/>
        <v>0.12410180000000004</v>
      </c>
    </row>
    <row r="214" spans="1:4" x14ac:dyDescent="0.45">
      <c r="A214" s="8">
        <f>Raw_data!A208</f>
        <v>45968</v>
      </c>
      <c r="B214" s="9">
        <f>Raw_data!F208</f>
        <v>110910.01</v>
      </c>
      <c r="C214" s="5">
        <f t="shared" si="6"/>
        <v>-1.3345499491238234E-2</v>
      </c>
      <c r="D214" s="5">
        <f t="shared" si="7"/>
        <v>0.10910010000000003</v>
      </c>
    </row>
    <row r="215" spans="1:4" x14ac:dyDescent="0.45">
      <c r="A215" s="8">
        <f>Raw_data!A209</f>
        <v>45969</v>
      </c>
      <c r="B215" s="9">
        <f>Raw_data!F209</f>
        <v>107573.87</v>
      </c>
      <c r="C215" s="5">
        <f t="shared" si="6"/>
        <v>-3.0079701552637131E-2</v>
      </c>
      <c r="D215" s="5">
        <f t="shared" si="7"/>
        <v>7.5738700000000048E-2</v>
      </c>
    </row>
    <row r="216" spans="1:4" x14ac:dyDescent="0.45">
      <c r="A216" s="8">
        <f>Raw_data!A210</f>
        <v>45972</v>
      </c>
      <c r="B216" s="9">
        <f>Raw_data!F210</f>
        <v>105327.06</v>
      </c>
      <c r="C216" s="5">
        <f t="shared" si="6"/>
        <v>-2.0886205915990545E-2</v>
      </c>
      <c r="D216" s="5">
        <f t="shared" si="7"/>
        <v>5.3270600000000057E-2</v>
      </c>
    </row>
    <row r="217" spans="1:4" x14ac:dyDescent="0.45">
      <c r="A217" s="8">
        <f>Raw_data!A211</f>
        <v>45973</v>
      </c>
      <c r="B217" s="9">
        <f>Raw_data!F211</f>
        <v>104667.11</v>
      </c>
      <c r="C217" s="5">
        <f t="shared" si="6"/>
        <v>-6.2657212685894503E-3</v>
      </c>
      <c r="D217" s="5">
        <f t="shared" si="7"/>
        <v>4.6671099999999965E-2</v>
      </c>
    </row>
    <row r="218" spans="1:4" x14ac:dyDescent="0.45">
      <c r="A218" s="8">
        <f>Raw_data!A212</f>
        <v>45974</v>
      </c>
      <c r="B218" s="9">
        <f>Raw_data!F212</f>
        <v>104621.6</v>
      </c>
      <c r="C218" s="5">
        <f t="shared" si="6"/>
        <v>-4.3480707549864287E-4</v>
      </c>
      <c r="D218" s="5">
        <f t="shared" si="7"/>
        <v>4.6216000000000035E-2</v>
      </c>
    </row>
    <row r="219" spans="1:4" x14ac:dyDescent="0.45">
      <c r="A219" s="8">
        <f>Raw_data!A213</f>
        <v>45975</v>
      </c>
      <c r="B219" s="9">
        <f>Raw_data!F213</f>
        <v>106857.19</v>
      </c>
      <c r="C219" s="5">
        <f t="shared" si="6"/>
        <v>2.1368340763284029E-2</v>
      </c>
      <c r="D219" s="5">
        <f t="shared" si="7"/>
        <v>6.8571900000000019E-2</v>
      </c>
    </row>
    <row r="220" spans="1:4" x14ac:dyDescent="0.45">
      <c r="A220" s="8">
        <f>Raw_data!A214</f>
        <v>45976</v>
      </c>
      <c r="B220" s="9">
        <f>Raw_data!F214</f>
        <v>105034.65</v>
      </c>
      <c r="C220" s="5">
        <f t="shared" si="6"/>
        <v>-1.7055848090334474E-2</v>
      </c>
      <c r="D220" s="5">
        <f t="shared" si="7"/>
        <v>5.034649999999985E-2</v>
      </c>
    </row>
    <row r="221" spans="1:4" x14ac:dyDescent="0.45">
      <c r="A221" s="8">
        <f>Raw_data!A215</f>
        <v>45979</v>
      </c>
      <c r="B221" s="9">
        <f>Raw_data!F215</f>
        <v>104812.72</v>
      </c>
      <c r="C221" s="5">
        <f t="shared" si="6"/>
        <v>-2.1129217834304492E-3</v>
      </c>
      <c r="D221" s="5">
        <f t="shared" si="7"/>
        <v>4.8127199999999926E-2</v>
      </c>
    </row>
    <row r="222" spans="1:4" x14ac:dyDescent="0.45">
      <c r="A222" s="8">
        <f>Raw_data!A216</f>
        <v>45980</v>
      </c>
      <c r="B222" s="9">
        <f>Raw_data!F216</f>
        <v>105538.63</v>
      </c>
      <c r="C222" s="5">
        <f t="shared" si="6"/>
        <v>6.9257815272803103E-3</v>
      </c>
      <c r="D222" s="5">
        <f t="shared" si="7"/>
        <v>5.538630000000011E-2</v>
      </c>
    </row>
    <row r="223" spans="1:4" x14ac:dyDescent="0.45">
      <c r="A223" s="8">
        <f>Raw_data!A217</f>
        <v>45981</v>
      </c>
      <c r="B223" s="9">
        <f>Raw_data!F217</f>
        <v>103239.46</v>
      </c>
      <c r="C223" s="5">
        <f t="shared" si="6"/>
        <v>-2.1785103710366509E-2</v>
      </c>
      <c r="D223" s="5">
        <f t="shared" si="7"/>
        <v>3.2394600000000162E-2</v>
      </c>
    </row>
    <row r="224" spans="1:4" x14ac:dyDescent="0.45">
      <c r="A224" s="8">
        <f>Raw_data!A218</f>
        <v>45982</v>
      </c>
      <c r="B224" s="9">
        <f>Raw_data!F218</f>
        <v>101197.25</v>
      </c>
      <c r="C224" s="5">
        <f t="shared" si="6"/>
        <v>-1.9781292928111077E-2</v>
      </c>
      <c r="D224" s="5">
        <f t="shared" si="7"/>
        <v>1.1972499999999942E-2</v>
      </c>
    </row>
    <row r="225" spans="1:4" x14ac:dyDescent="0.45">
      <c r="A225" s="8">
        <f>Raw_data!A219</f>
        <v>45983</v>
      </c>
      <c r="B225" s="9">
        <f>Raw_data!F219</f>
        <v>100718.82</v>
      </c>
      <c r="C225" s="5">
        <f t="shared" si="6"/>
        <v>-4.7276976400049704E-3</v>
      </c>
      <c r="D225" s="5">
        <f t="shared" si="7"/>
        <v>7.188200000000089E-3</v>
      </c>
    </row>
    <row r="226" spans="1:4" x14ac:dyDescent="0.45">
      <c r="A226" s="8">
        <f>Raw_data!A220</f>
        <v>45986</v>
      </c>
      <c r="B226" s="9">
        <f>Raw_data!F220</f>
        <v>100824.04</v>
      </c>
      <c r="C226" s="5">
        <f t="shared" si="6"/>
        <v>1.0446905553499E-3</v>
      </c>
      <c r="D226" s="5">
        <f t="shared" si="7"/>
        <v>8.2404000000000366E-3</v>
      </c>
    </row>
    <row r="227" spans="1:4" x14ac:dyDescent="0.45">
      <c r="A227" s="8">
        <f>Raw_data!A221</f>
        <v>45987</v>
      </c>
      <c r="B227" s="9">
        <f>Raw_data!F221</f>
        <v>101432.48</v>
      </c>
      <c r="C227" s="5">
        <f t="shared" si="6"/>
        <v>6.034671889759648E-3</v>
      </c>
      <c r="D227" s="5">
        <f t="shared" si="7"/>
        <v>1.4324800000000026E-2</v>
      </c>
    </row>
    <row r="228" spans="1:4" x14ac:dyDescent="0.45">
      <c r="A228" s="8">
        <f>Raw_data!A222</f>
        <v>45988</v>
      </c>
      <c r="B228" s="9">
        <f>Raw_data!F222</f>
        <v>103016.3</v>
      </c>
      <c r="C228" s="5">
        <f t="shared" si="6"/>
        <v>1.5614525051541745E-2</v>
      </c>
      <c r="D228" s="5">
        <f t="shared" si="7"/>
        <v>3.016299999999994E-2</v>
      </c>
    </row>
    <row r="229" spans="1:4" x14ac:dyDescent="0.45">
      <c r="A229" s="8">
        <f>Raw_data!A223</f>
        <v>45989</v>
      </c>
      <c r="B229" s="9">
        <f>Raw_data!F223</f>
        <v>103016.3</v>
      </c>
      <c r="C229" s="5">
        <f t="shared" si="6"/>
        <v>0</v>
      </c>
      <c r="D229" s="5">
        <f t="shared" si="7"/>
        <v>3.016299999999994E-2</v>
      </c>
    </row>
    <row r="230" spans="1:4" x14ac:dyDescent="0.45">
      <c r="A230" s="8">
        <f>Raw_data!A224</f>
        <v>45990</v>
      </c>
      <c r="B230" s="9">
        <f>Raw_data!F224</f>
        <v>103731.86</v>
      </c>
      <c r="C230" s="5">
        <f t="shared" si="6"/>
        <v>6.9460852311721312E-3</v>
      </c>
      <c r="D230" s="5">
        <f t="shared" si="7"/>
        <v>3.7318600000000091E-2</v>
      </c>
    </row>
    <row r="231" spans="1:4" x14ac:dyDescent="0.45">
      <c r="A231" s="8">
        <f>Raw_data!A225</f>
        <v>45993</v>
      </c>
      <c r="B231" s="9">
        <f>Raw_data!F225</f>
        <v>102693.64</v>
      </c>
      <c r="C231" s="5">
        <f t="shared" si="6"/>
        <v>-1.0008689712109676E-2</v>
      </c>
      <c r="D231" s="5">
        <f t="shared" si="7"/>
        <v>2.6936400000000082E-2</v>
      </c>
    </row>
    <row r="232" spans="1:4" x14ac:dyDescent="0.45">
      <c r="A232" s="8">
        <f>Raw_data!A226</f>
        <v>45994</v>
      </c>
      <c r="B232" s="9">
        <f>Raw_data!F226</f>
        <v>106330.04</v>
      </c>
      <c r="C232" s="5">
        <f t="shared" si="6"/>
        <v>3.5410177300171597E-2</v>
      </c>
      <c r="D232" s="5">
        <f t="shared" si="7"/>
        <v>6.3300399999999923E-2</v>
      </c>
    </row>
    <row r="233" spans="1:4" x14ac:dyDescent="0.45">
      <c r="A233" s="8">
        <f>Raw_data!A227</f>
        <v>45995</v>
      </c>
      <c r="B233" s="9">
        <f>Raw_data!F227</f>
        <v>105469.14</v>
      </c>
      <c r="C233" s="5">
        <f t="shared" si="6"/>
        <v>-8.0964890072456868E-3</v>
      </c>
      <c r="D233" s="5">
        <f t="shared" si="7"/>
        <v>5.4691400000000057E-2</v>
      </c>
    </row>
    <row r="234" spans="1:4" x14ac:dyDescent="0.45">
      <c r="A234" s="8">
        <f>Raw_data!A228</f>
        <v>45996</v>
      </c>
      <c r="B234" s="9">
        <f>Raw_data!F228</f>
        <v>105715.3</v>
      </c>
      <c r="C234" s="5">
        <f t="shared" si="6"/>
        <v>2.3339528510425275E-3</v>
      </c>
      <c r="D234" s="5">
        <f t="shared" si="7"/>
        <v>5.7153000000000009E-2</v>
      </c>
    </row>
    <row r="235" spans="1:4" x14ac:dyDescent="0.45">
      <c r="A235" s="8">
        <f>Raw_data!A229</f>
        <v>45997</v>
      </c>
      <c r="B235" s="9">
        <f>Raw_data!F229</f>
        <v>105927.02</v>
      </c>
      <c r="C235" s="5">
        <f t="shared" si="6"/>
        <v>2.0027375413019795E-3</v>
      </c>
      <c r="D235" s="5">
        <f t="shared" si="7"/>
        <v>5.9270200000000051E-2</v>
      </c>
    </row>
    <row r="236" spans="1:4" x14ac:dyDescent="0.45">
      <c r="A236" s="8">
        <f>Raw_data!A230</f>
        <v>46000</v>
      </c>
      <c r="B236" s="9">
        <f>Raw_data!F230</f>
        <v>106189.8</v>
      </c>
      <c r="C236" s="5">
        <f t="shared" si="6"/>
        <v>2.4807645867881379E-3</v>
      </c>
      <c r="D236" s="5">
        <f t="shared" si="7"/>
        <v>6.1898000000000009E-2</v>
      </c>
    </row>
    <row r="237" spans="1:4" x14ac:dyDescent="0.45">
      <c r="A237" s="8">
        <f>Raw_data!A231</f>
        <v>46001</v>
      </c>
      <c r="B237" s="9">
        <f>Raw_data!F231</f>
        <v>103948.5</v>
      </c>
      <c r="C237" s="5">
        <f t="shared" si="6"/>
        <v>-2.1106546956487372E-2</v>
      </c>
      <c r="D237" s="5">
        <f t="shared" si="7"/>
        <v>3.9484999999999992E-2</v>
      </c>
    </row>
    <row r="238" spans="1:4" x14ac:dyDescent="0.45">
      <c r="A238" s="8">
        <f>Raw_data!A232</f>
        <v>46002</v>
      </c>
      <c r="B238" s="9">
        <f>Raw_data!F232</f>
        <v>103504.6</v>
      </c>
      <c r="C238" s="5">
        <f t="shared" si="6"/>
        <v>-4.2703838920233978E-3</v>
      </c>
      <c r="D238" s="5">
        <f t="shared" si="7"/>
        <v>3.5046000000000133E-2</v>
      </c>
    </row>
    <row r="239" spans="1:4" x14ac:dyDescent="0.45">
      <c r="A239" s="8">
        <f>Raw_data!A233</f>
        <v>46003</v>
      </c>
      <c r="B239" s="9">
        <f>Raw_data!F233</f>
        <v>104970.64</v>
      </c>
      <c r="C239" s="5">
        <f t="shared" si="6"/>
        <v>1.416400816968515E-2</v>
      </c>
      <c r="D239" s="5">
        <f t="shared" si="7"/>
        <v>4.9706400000000039E-2</v>
      </c>
    </row>
    <row r="240" spans="1:4" x14ac:dyDescent="0.45">
      <c r="A240" s="8">
        <f>Raw_data!A234</f>
        <v>46004</v>
      </c>
      <c r="B240" s="9">
        <f>Raw_data!F234</f>
        <v>106367.38</v>
      </c>
      <c r="C240" s="5">
        <f t="shared" si="6"/>
        <v>1.3306006327102562E-2</v>
      </c>
      <c r="D240" s="5">
        <f t="shared" si="7"/>
        <v>6.3673800000000114E-2</v>
      </c>
    </row>
    <row r="241" spans="1:4" x14ac:dyDescent="0.45">
      <c r="A241" s="8">
        <f>Raw_data!A235</f>
        <v>46007</v>
      </c>
      <c r="B241" s="9">
        <f>Raw_data!F235</f>
        <v>107223.2</v>
      </c>
      <c r="C241" s="5">
        <f t="shared" si="6"/>
        <v>8.0458877524292923E-3</v>
      </c>
      <c r="D241" s="5">
        <f t="shared" si="7"/>
        <v>7.2232000000000074E-2</v>
      </c>
    </row>
    <row r="242" spans="1:4" x14ac:dyDescent="0.45">
      <c r="A242" s="8">
        <f>Raw_data!A236</f>
        <v>46008</v>
      </c>
      <c r="B242" s="9">
        <f>Raw_data!F236</f>
        <v>107022.12</v>
      </c>
      <c r="C242" s="5">
        <f t="shared" si="6"/>
        <v>-1.8753404114035185E-3</v>
      </c>
      <c r="D242" s="5">
        <f t="shared" si="7"/>
        <v>7.0221199999999984E-2</v>
      </c>
    </row>
    <row r="243" spans="1:4" x14ac:dyDescent="0.45">
      <c r="A243" s="8">
        <f>Raw_data!A237</f>
        <v>46009</v>
      </c>
      <c r="B243" s="9">
        <f>Raw_data!F237</f>
        <v>107465.88</v>
      </c>
      <c r="C243" s="5">
        <f t="shared" si="6"/>
        <v>4.1464325318916247E-3</v>
      </c>
      <c r="D243" s="5">
        <f t="shared" si="7"/>
        <v>7.4658800000000136E-2</v>
      </c>
    </row>
    <row r="244" spans="1:4" x14ac:dyDescent="0.45">
      <c r="A244" s="8">
        <f>Raw_data!A238</f>
        <v>46010</v>
      </c>
      <c r="B244" s="9">
        <f>Raw_data!F238</f>
        <v>107763.42</v>
      </c>
      <c r="C244" s="5">
        <f t="shared" si="6"/>
        <v>2.7686927236811681E-3</v>
      </c>
      <c r="D244" s="5">
        <f t="shared" si="7"/>
        <v>7.7634199999999876E-2</v>
      </c>
    </row>
    <row r="245" spans="1:4" x14ac:dyDescent="0.45">
      <c r="A245" s="8">
        <f>Raw_data!A239</f>
        <v>46011</v>
      </c>
      <c r="B245" s="9">
        <f>Raw_data!F239</f>
        <v>108149.8</v>
      </c>
      <c r="C245" s="5">
        <f t="shared" si="6"/>
        <v>3.585446712808527E-3</v>
      </c>
      <c r="D245" s="5">
        <f t="shared" si="7"/>
        <v>8.149800000000007E-2</v>
      </c>
    </row>
    <row r="246" spans="1:4" x14ac:dyDescent="0.45">
      <c r="A246" s="8">
        <f>Raw_data!A240</f>
        <v>46014</v>
      </c>
      <c r="B246" s="9">
        <f>Raw_data!F240</f>
        <v>109398.14</v>
      </c>
      <c r="C246" s="5">
        <f t="shared" si="6"/>
        <v>1.1542693560228466E-2</v>
      </c>
      <c r="D246" s="5">
        <f t="shared" si="7"/>
        <v>9.3981400000000104E-2</v>
      </c>
    </row>
    <row r="247" spans="1:4" x14ac:dyDescent="0.45">
      <c r="A247" s="8">
        <f>Raw_data!A241</f>
        <v>46015</v>
      </c>
      <c r="B247" s="9">
        <f>Raw_data!F241</f>
        <v>109471.96</v>
      </c>
      <c r="C247" s="5">
        <f t="shared" si="6"/>
        <v>6.747829533482652E-4</v>
      </c>
      <c r="D247" s="5">
        <f t="shared" si="7"/>
        <v>9.4719600000000126E-2</v>
      </c>
    </row>
    <row r="248" spans="1:4" x14ac:dyDescent="0.45">
      <c r="A248" s="8">
        <f>Raw_data!A242</f>
        <v>46016</v>
      </c>
      <c r="B248" s="9">
        <f>Raw_data!F242</f>
        <v>109978.22</v>
      </c>
      <c r="C248" s="5">
        <f t="shared" si="6"/>
        <v>4.6245632214860751E-3</v>
      </c>
      <c r="D248" s="5">
        <f t="shared" si="7"/>
        <v>9.9782199999999932E-2</v>
      </c>
    </row>
    <row r="249" spans="1:4" x14ac:dyDescent="0.45">
      <c r="A249" s="8">
        <f>Raw_data!A243</f>
        <v>46017</v>
      </c>
      <c r="B249" s="9">
        <f>Raw_data!F243</f>
        <v>109978.22</v>
      </c>
      <c r="C249" s="5">
        <f t="shared" si="6"/>
        <v>0</v>
      </c>
      <c r="D249" s="5">
        <f t="shared" si="7"/>
        <v>9.9782199999999932E-2</v>
      </c>
    </row>
    <row r="250" spans="1:4" x14ac:dyDescent="0.45">
      <c r="A250" s="8">
        <f>Raw_data!A244</f>
        <v>46018</v>
      </c>
      <c r="B250" s="9">
        <f>Raw_data!F244</f>
        <v>109286.34</v>
      </c>
      <c r="C250" s="5">
        <f t="shared" si="6"/>
        <v>-6.2910638124530896E-3</v>
      </c>
      <c r="D250" s="5">
        <f t="shared" si="7"/>
        <v>9.2863399999999929E-2</v>
      </c>
    </row>
    <row r="251" spans="1:4" x14ac:dyDescent="0.45">
      <c r="A251" s="8">
        <f>Raw_data!A245</f>
        <v>46021</v>
      </c>
      <c r="B251" s="9">
        <f>Raw_data!F245</f>
        <v>109690.34</v>
      </c>
      <c r="C251" s="5">
        <f t="shared" si="6"/>
        <v>3.6967108606620006E-3</v>
      </c>
      <c r="D251" s="5">
        <f t="shared" si="7"/>
        <v>9.6903399999999973E-2</v>
      </c>
    </row>
    <row r="252" spans="1:4" x14ac:dyDescent="0.45">
      <c r="A252" s="8">
        <f>Raw_data!A246</f>
        <v>46022</v>
      </c>
      <c r="B252" s="9">
        <f>Raw_data!F246</f>
        <v>110075.86</v>
      </c>
      <c r="C252" s="5">
        <f t="shared" si="6"/>
        <v>3.5146212510600667E-3</v>
      </c>
      <c r="D252" s="5">
        <f t="shared" si="7"/>
        <v>0.10075860000000003</v>
      </c>
    </row>
    <row r="253" spans="1:4" x14ac:dyDescent="0.45">
      <c r="A253" s="8">
        <f>Raw_data!A247</f>
        <v>46023</v>
      </c>
      <c r="B253" s="9">
        <f>Raw_data!F247</f>
        <v>109329.84</v>
      </c>
      <c r="C253" s="5">
        <f t="shared" si="6"/>
        <v>-6.7773261094667267E-3</v>
      </c>
      <c r="D253" s="5">
        <f t="shared" si="7"/>
        <v>9.3298399999999893E-2</v>
      </c>
    </row>
    <row r="254" spans="1:4" x14ac:dyDescent="0.45">
      <c r="A254" s="8">
        <f>Raw_data!A248</f>
        <v>46024</v>
      </c>
      <c r="B254" s="9">
        <f>Raw_data!F248</f>
        <v>109329.84</v>
      </c>
      <c r="C254" s="5">
        <f t="shared" si="6"/>
        <v>0</v>
      </c>
      <c r="D254" s="5">
        <f t="shared" si="7"/>
        <v>9.3298399999999893E-2</v>
      </c>
    </row>
    <row r="255" spans="1:4" x14ac:dyDescent="0.45">
      <c r="A255" s="8">
        <f>Raw_data!A249</f>
        <v>46025</v>
      </c>
      <c r="B255" s="9">
        <f>Raw_data!F249</f>
        <v>110724.04</v>
      </c>
      <c r="C255" s="5">
        <f t="shared" si="6"/>
        <v>1.2752236717807298E-2</v>
      </c>
      <c r="D255" s="5">
        <f t="shared" si="7"/>
        <v>0.10724040000000001</v>
      </c>
    </row>
    <row r="256" spans="1:4" x14ac:dyDescent="0.45">
      <c r="A256" s="8">
        <f>Raw_data!A250</f>
        <v>46028</v>
      </c>
      <c r="B256" s="9">
        <f>Raw_data!F250</f>
        <v>110736.08</v>
      </c>
      <c r="C256" s="5">
        <f t="shared" si="6"/>
        <v>1.0873880685719334E-4</v>
      </c>
      <c r="D256" s="5">
        <f t="shared" si="7"/>
        <v>0.10736079999999992</v>
      </c>
    </row>
    <row r="257" spans="1:4" x14ac:dyDescent="0.45">
      <c r="A257" s="8">
        <f>Raw_data!A251</f>
        <v>46029</v>
      </c>
      <c r="B257" s="9">
        <f>Raw_data!F251</f>
        <v>111073.34</v>
      </c>
      <c r="C257" s="5">
        <f t="shared" si="6"/>
        <v>3.0456198196648714E-3</v>
      </c>
      <c r="D257" s="5">
        <f t="shared" si="7"/>
        <v>0.11073339999999998</v>
      </c>
    </row>
    <row r="258" spans="1:4" x14ac:dyDescent="0.45">
      <c r="A258" s="8">
        <f>Raw_data!A252</f>
        <v>46030</v>
      </c>
      <c r="B258" s="9">
        <f>Raw_data!F252</f>
        <v>110437.48</v>
      </c>
      <c r="C258" s="5">
        <f t="shared" si="6"/>
        <v>-5.7246860497757665E-3</v>
      </c>
      <c r="D258" s="5">
        <f t="shared" si="7"/>
        <v>0.10437479999999999</v>
      </c>
    </row>
    <row r="259" spans="1:4" x14ac:dyDescent="0.45">
      <c r="A259" s="8">
        <f>Raw_data!A253</f>
        <v>46031</v>
      </c>
      <c r="B259" s="9">
        <f>Raw_data!F253</f>
        <v>110604.38</v>
      </c>
      <c r="C259" s="5">
        <f t="shared" si="6"/>
        <v>1.5112622997193411E-3</v>
      </c>
      <c r="D259" s="5">
        <f t="shared" si="7"/>
        <v>0.10604380000000013</v>
      </c>
    </row>
    <row r="260" spans="1:4" x14ac:dyDescent="0.45">
      <c r="A260" s="8">
        <f>Raw_data!A254</f>
        <v>46032</v>
      </c>
      <c r="B260" s="9">
        <f>Raw_data!F254</f>
        <v>111793.84</v>
      </c>
      <c r="C260" s="5">
        <f t="shared" si="6"/>
        <v>1.0754185322498003E-2</v>
      </c>
      <c r="D260" s="5">
        <f t="shared" si="7"/>
        <v>0.11793839999999989</v>
      </c>
    </row>
    <row r="261" spans="1:4" x14ac:dyDescent="0.45">
      <c r="A261" s="8">
        <f>Raw_data!A255</f>
        <v>46035</v>
      </c>
      <c r="B261" s="9">
        <f>Raw_data!F255</f>
        <v>112768.18</v>
      </c>
      <c r="C261" s="5">
        <f t="shared" si="6"/>
        <v>8.7155070440374585E-3</v>
      </c>
      <c r="D261" s="5">
        <f t="shared" si="7"/>
        <v>0.12768179999999996</v>
      </c>
    </row>
    <row r="262" spans="1:4" x14ac:dyDescent="0.45">
      <c r="A262" s="8">
        <f>Raw_data!A256</f>
        <v>46036</v>
      </c>
      <c r="B262" s="9">
        <f>Raw_data!F256</f>
        <v>114052.32</v>
      </c>
      <c r="C262" s="5">
        <f t="shared" si="6"/>
        <v>1.1387432163931475E-2</v>
      </c>
      <c r="D262" s="5">
        <f t="shared" si="7"/>
        <v>0.14052320000000007</v>
      </c>
    </row>
    <row r="263" spans="1:4" x14ac:dyDescent="0.45">
      <c r="A263" s="8">
        <f>Raw_data!A257</f>
        <v>46037</v>
      </c>
      <c r="B263" s="9">
        <f>Raw_data!F257</f>
        <v>113387.44</v>
      </c>
      <c r="C263" s="5">
        <f t="shared" si="6"/>
        <v>-5.8296052197798747E-3</v>
      </c>
      <c r="D263" s="5">
        <f t="shared" si="7"/>
        <v>0.13387440000000006</v>
      </c>
    </row>
    <row r="264" spans="1:4" x14ac:dyDescent="0.45">
      <c r="A264" s="8">
        <f>Raw_data!A258</f>
        <v>46038</v>
      </c>
      <c r="B264" s="9">
        <f>Raw_data!F258</f>
        <v>114422.38</v>
      </c>
      <c r="C264" s="5">
        <f t="shared" si="6"/>
        <v>9.1274659697758616E-3</v>
      </c>
      <c r="D264" s="5">
        <f t="shared" si="7"/>
        <v>0.14422380000000001</v>
      </c>
    </row>
    <row r="265" spans="1:4" x14ac:dyDescent="0.45">
      <c r="A265" s="8">
        <f>Raw_data!A259</f>
        <v>46039</v>
      </c>
      <c r="B265" s="9">
        <f>Raw_data!F259</f>
        <v>114086.02</v>
      </c>
      <c r="C265" s="5">
        <f t="shared" si="6"/>
        <v>-2.9396347113213391E-3</v>
      </c>
      <c r="D265" s="5">
        <f t="shared" si="7"/>
        <v>0.1408602000000001</v>
      </c>
    </row>
    <row r="266" spans="1:4" x14ac:dyDescent="0.45">
      <c r="A266" s="8">
        <f>Raw_data!A260</f>
        <v>46042</v>
      </c>
      <c r="B266" s="9">
        <f>Raw_data!F260</f>
        <v>114086.02</v>
      </c>
      <c r="C266" s="5">
        <f t="shared" ref="C266:C284" si="8">(B266-B265)/B265</f>
        <v>0</v>
      </c>
      <c r="D266" s="5">
        <f t="shared" ref="D266:D284" si="9">(B266/B$8)-1</f>
        <v>0.1408602000000001</v>
      </c>
    </row>
    <row r="267" spans="1:4" x14ac:dyDescent="0.45">
      <c r="A267" s="8">
        <f>Raw_data!A261</f>
        <v>46043</v>
      </c>
      <c r="B267" s="9">
        <f>Raw_data!F261</f>
        <v>113554.02</v>
      </c>
      <c r="C267" s="5">
        <f t="shared" si="8"/>
        <v>-4.6631480351405014E-3</v>
      </c>
      <c r="D267" s="5">
        <f t="shared" si="9"/>
        <v>0.13554020000000011</v>
      </c>
    </row>
    <row r="268" spans="1:4" x14ac:dyDescent="0.45">
      <c r="A268" s="8">
        <f>Raw_data!A262</f>
        <v>46044</v>
      </c>
      <c r="B268" s="9">
        <f>Raw_data!F262</f>
        <v>113679.6</v>
      </c>
      <c r="C268" s="5">
        <f t="shared" si="8"/>
        <v>1.1059053655696359E-3</v>
      </c>
      <c r="D268" s="5">
        <f t="shared" si="9"/>
        <v>0.13679600000000014</v>
      </c>
    </row>
    <row r="269" spans="1:4" x14ac:dyDescent="0.45">
      <c r="A269" s="8">
        <f>Raw_data!A263</f>
        <v>46045</v>
      </c>
      <c r="B269" s="9">
        <f>Raw_data!F263</f>
        <v>113714.62</v>
      </c>
      <c r="C269" s="5">
        <f t="shared" si="8"/>
        <v>3.0805878979156786E-4</v>
      </c>
      <c r="D269" s="5">
        <f t="shared" si="9"/>
        <v>0.13714619999999988</v>
      </c>
    </row>
    <row r="270" spans="1:4" x14ac:dyDescent="0.45">
      <c r="A270" s="8">
        <f>Raw_data!A264</f>
        <v>46046</v>
      </c>
      <c r="B270" s="9">
        <f>Raw_data!F264</f>
        <v>113634.18</v>
      </c>
      <c r="C270" s="5">
        <f t="shared" si="8"/>
        <v>-7.0738485517519501E-4</v>
      </c>
      <c r="D270" s="5">
        <f t="shared" si="9"/>
        <v>0.13634179999999985</v>
      </c>
    </row>
    <row r="271" spans="1:4" x14ac:dyDescent="0.45">
      <c r="A271" s="8">
        <f>Raw_data!A265</f>
        <v>46049</v>
      </c>
      <c r="B271" s="9">
        <f>Raw_data!F265</f>
        <v>113250.48</v>
      </c>
      <c r="C271" s="5">
        <f t="shared" si="8"/>
        <v>-3.3766248852237692E-3</v>
      </c>
      <c r="D271" s="5">
        <f t="shared" si="9"/>
        <v>0.13250479999999998</v>
      </c>
    </row>
    <row r="272" spans="1:4" x14ac:dyDescent="0.45">
      <c r="A272" s="8">
        <f>Raw_data!A266</f>
        <v>46050</v>
      </c>
      <c r="B272" s="9">
        <f>Raw_data!F266</f>
        <v>111277.18</v>
      </c>
      <c r="C272" s="5">
        <f t="shared" si="8"/>
        <v>-1.7424208709755605E-2</v>
      </c>
      <c r="D272" s="5">
        <f t="shared" si="9"/>
        <v>0.11277179999999998</v>
      </c>
    </row>
    <row r="273" spans="1:4" x14ac:dyDescent="0.45">
      <c r="A273" s="8">
        <f>Raw_data!A267</f>
        <v>46051</v>
      </c>
      <c r="B273" s="9">
        <f>Raw_data!F267</f>
        <v>110261.12</v>
      </c>
      <c r="C273" s="5">
        <f t="shared" si="8"/>
        <v>-9.1308927850256242E-3</v>
      </c>
      <c r="D273" s="5">
        <f t="shared" si="9"/>
        <v>0.1026111999999999</v>
      </c>
    </row>
    <row r="274" spans="1:4" x14ac:dyDescent="0.45">
      <c r="A274" s="8">
        <f>Raw_data!A268</f>
        <v>46052</v>
      </c>
      <c r="B274" s="9">
        <f>Raw_data!F268</f>
        <v>109523.12</v>
      </c>
      <c r="C274" s="5">
        <f t="shared" si="8"/>
        <v>-6.6932024633887272E-3</v>
      </c>
      <c r="D274" s="5">
        <f t="shared" si="9"/>
        <v>9.523119999999996E-2</v>
      </c>
    </row>
    <row r="275" spans="1:4" x14ac:dyDescent="0.45">
      <c r="A275" s="8">
        <f>Raw_data!A269</f>
        <v>46053</v>
      </c>
      <c r="B275" s="9">
        <f>Raw_data!F269</f>
        <v>109944.2</v>
      </c>
      <c r="C275" s="5">
        <f t="shared" si="8"/>
        <v>3.8446676829513417E-3</v>
      </c>
      <c r="D275" s="5">
        <f t="shared" si="9"/>
        <v>9.944200000000003E-2</v>
      </c>
    </row>
    <row r="276" spans="1:4" x14ac:dyDescent="0.45">
      <c r="A276" s="8">
        <f>Raw_data!A270</f>
        <v>46056</v>
      </c>
      <c r="B276" s="9">
        <f>Raw_data!F270</f>
        <v>110349.52</v>
      </c>
      <c r="C276" s="5">
        <f t="shared" si="8"/>
        <v>3.6865973830361855E-3</v>
      </c>
      <c r="D276" s="5">
        <f t="shared" si="9"/>
        <v>0.10349520000000001</v>
      </c>
    </row>
    <row r="277" spans="1:4" x14ac:dyDescent="0.45">
      <c r="A277" s="8">
        <f>Raw_data!A271</f>
        <v>46057</v>
      </c>
      <c r="B277" s="9">
        <f>Raw_data!F271</f>
        <v>111215.42</v>
      </c>
      <c r="C277" s="5">
        <f t="shared" si="8"/>
        <v>7.8468850612127185E-3</v>
      </c>
      <c r="D277" s="5">
        <f t="shared" si="9"/>
        <v>0.11215419999999998</v>
      </c>
    </row>
    <row r="278" spans="1:4" x14ac:dyDescent="0.45">
      <c r="A278" s="8">
        <f>Raw_data!A272</f>
        <v>46058</v>
      </c>
      <c r="B278" s="9">
        <f>Raw_data!F272</f>
        <v>113043.3</v>
      </c>
      <c r="C278" s="5">
        <f t="shared" si="8"/>
        <v>1.6435490690050038E-2</v>
      </c>
      <c r="D278" s="5">
        <f t="shared" si="9"/>
        <v>0.13043300000000002</v>
      </c>
    </row>
    <row r="279" spans="1:4" x14ac:dyDescent="0.45">
      <c r="A279" s="8">
        <f>Raw_data!A273</f>
        <v>46059</v>
      </c>
      <c r="B279" s="9">
        <f>Raw_data!F273</f>
        <v>113363.52</v>
      </c>
      <c r="C279" s="5">
        <f t="shared" si="8"/>
        <v>2.8327198515966994E-3</v>
      </c>
      <c r="D279" s="5">
        <f t="shared" si="9"/>
        <v>0.13363520000000007</v>
      </c>
    </row>
    <row r="280" spans="1:4" x14ac:dyDescent="0.45">
      <c r="A280" s="8">
        <f>Raw_data!A274</f>
        <v>46060</v>
      </c>
      <c r="B280" s="9">
        <f>Raw_data!F274</f>
        <v>115269.72</v>
      </c>
      <c r="C280" s="5">
        <f t="shared" si="8"/>
        <v>1.6814933057830217E-2</v>
      </c>
      <c r="D280" s="5">
        <f t="shared" si="9"/>
        <v>0.15269719999999998</v>
      </c>
    </row>
    <row r="281" spans="1:4" x14ac:dyDescent="0.45">
      <c r="A281" s="8">
        <f>Raw_data!A275</f>
        <v>46063</v>
      </c>
      <c r="B281" s="9">
        <f>Raw_data!F275</f>
        <v>114409</v>
      </c>
      <c r="C281" s="5">
        <f t="shared" si="8"/>
        <v>-7.4670086818984308E-3</v>
      </c>
      <c r="D281" s="5">
        <f t="shared" si="9"/>
        <v>0.14409000000000005</v>
      </c>
    </row>
    <row r="282" spans="1:4" x14ac:dyDescent="0.45">
      <c r="A282" s="8">
        <f>Raw_data!A276</f>
        <v>46064</v>
      </c>
      <c r="B282" s="9">
        <f>Raw_data!F276</f>
        <v>114541.84</v>
      </c>
      <c r="C282" s="5">
        <f t="shared" si="8"/>
        <v>1.161097466108405E-3</v>
      </c>
      <c r="D282" s="5">
        <f t="shared" si="9"/>
        <v>0.14541840000000006</v>
      </c>
    </row>
    <row r="283" spans="1:4" x14ac:dyDescent="0.45">
      <c r="A283" s="8">
        <f>Raw_data!A277</f>
        <v>46065</v>
      </c>
      <c r="B283" s="9">
        <f>Raw_data!F277</f>
        <v>112986.18</v>
      </c>
      <c r="C283" s="5">
        <f t="shared" si="8"/>
        <v>-1.3581587304691486E-2</v>
      </c>
      <c r="D283" s="5">
        <f t="shared" si="9"/>
        <v>0.12986180000000003</v>
      </c>
    </row>
    <row r="284" spans="1:4" x14ac:dyDescent="0.45">
      <c r="A284" s="8">
        <f>Raw_data!A278</f>
        <v>46066</v>
      </c>
      <c r="B284" s="9">
        <f>Raw_data!F278</f>
        <v>112875.86</v>
      </c>
      <c r="C284" s="5">
        <f t="shared" si="8"/>
        <v>-9.7640260074278497E-4</v>
      </c>
      <c r="D284" s="5">
        <f t="shared" si="9"/>
        <v>0.12875860000000006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CEBBE-DF83-4909-AD52-B46A76B631C6}">
  <dimension ref="A1:C6"/>
  <sheetViews>
    <sheetView showGridLines="0" tabSelected="1" zoomScale="60" zoomScaleNormal="60" workbookViewId="0">
      <selection activeCell="R12" sqref="R12"/>
    </sheetView>
  </sheetViews>
  <sheetFormatPr defaultRowHeight="14.25" x14ac:dyDescent="0.45"/>
  <cols>
    <col min="1" max="1" width="21.1328125" customWidth="1"/>
    <col min="2" max="2" width="17.33203125" customWidth="1"/>
    <col min="3" max="3" width="9.9296875" customWidth="1"/>
  </cols>
  <sheetData>
    <row r="1" spans="1:3" x14ac:dyDescent="0.45">
      <c r="A1" s="19" t="s">
        <v>13</v>
      </c>
      <c r="B1" s="19"/>
      <c r="C1" s="7"/>
    </row>
    <row r="2" spans="1:3" x14ac:dyDescent="0.45">
      <c r="A2" s="19" t="s">
        <v>15</v>
      </c>
      <c r="B2" s="19"/>
      <c r="C2" s="7"/>
    </row>
    <row r="3" spans="1:3" x14ac:dyDescent="0.45">
      <c r="A3" s="11" t="s">
        <v>14</v>
      </c>
      <c r="B3" s="12">
        <f>Metrics!B2</f>
        <v>0.13820140000000003</v>
      </c>
      <c r="C3" s="10"/>
    </row>
    <row r="4" spans="1:3" x14ac:dyDescent="0.45">
      <c r="A4" s="11" t="s">
        <v>18</v>
      </c>
      <c r="B4" s="5">
        <f xml:space="preserve"> (Raw_data!F279 / Raw_data!F2)^(252/279) - 1</f>
        <v>0.12403169093565669</v>
      </c>
      <c r="C4" s="10"/>
    </row>
    <row r="5" spans="1:3" x14ac:dyDescent="0.45">
      <c r="A5" s="11" t="s">
        <v>16</v>
      </c>
      <c r="B5" s="5">
        <f>Metrics!B4 * SQRT(252)</f>
        <v>0.39231227743496866</v>
      </c>
      <c r="C5" s="10"/>
    </row>
    <row r="6" spans="1:3" x14ac:dyDescent="0.45">
      <c r="A6" s="11" t="s">
        <v>17</v>
      </c>
      <c r="B6" s="13">
        <f xml:space="preserve"> (Metrics!B3/Metrics!B4) * SQRT(252)</f>
        <v>0.46561421276762893</v>
      </c>
    </row>
  </sheetData>
  <mergeCells count="2">
    <mergeCell ref="A1:B1"/>
    <mergeCell ref="A2:B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Metrics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PAWAR</dc:creator>
  <cp:lastModifiedBy>VAIBHAV PAWAR</cp:lastModifiedBy>
  <dcterms:created xsi:type="dcterms:W3CDTF">2026-02-19T07:46:37Z</dcterms:created>
  <dcterms:modified xsi:type="dcterms:W3CDTF">2026-02-19T13:44:14Z</dcterms:modified>
</cp:coreProperties>
</file>